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Dan" sheetId="1" state="visible" r:id="rId3"/>
    <sheet name="GiaDinh" sheetId="2" state="visible" r:id="rId4"/>
    <sheet name="DauTu" sheetId="3" state="visible" r:id="rId5"/>
    <sheet name="TinhGia" sheetId="4" state="visible" r:id="rId6"/>
    <sheet name="DoNhay" sheetId="5" state="visible" r:id="rId7"/>
    <sheet name="DuBao12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<sst xmlns="http://schemas.openxmlformats.org/spreadsheetml/2006/main" count="335" uniqueCount="281">
  <si>
    <t xml:space="preserve">BẢNG TÍNH GIÁ DỊCH VỤ LAU KÍNH HẰNG NGÀY – NAM ĐẢO PHÚ QUỐC</t>
  </si>
  <si>
    <t xml:space="preserve">Mục đích: tính giá vốn và giá bán cho 1 m² kính mỗi lần lau, và dự báo lãi/lỗ 12 tháng đầu.</t>
  </si>
  <si>
    <t xml:space="preserve">CÁCH DÙNG</t>
  </si>
  <si>
    <t xml:space="preserve">1. Sửa các ô CHỮ XANH DƯƠNG (nền vàng = giả định quan trọng nhất) ở sheet GiaDinh, DauTu và dòng 'Số cửa hàng' ở sheet DuBao12T.</t>
  </si>
  <si>
    <t xml:space="preserve">2. Mọi ô chữ đen là công thức – không gõ đè. Ô chữ xanh lá là số lấy từ sheet khác.</t>
  </si>
  <si>
    <t xml:space="preserve">3. Xem kết quả ở sheet TinhGia (giá/m²), DoNhay (giá thay đổi thế nào khi năng suất thay đổi), DuBao12T (lãi/lỗ, vốn cần chuẩn bị).</t>
  </si>
  <si>
    <t xml:space="preserve">QUY ƯỚC</t>
  </si>
  <si>
    <t xml:space="preserve">• 'm²' = 1 m² của MỘT mặt kính (mặt ngoài, phía đường) cho MỘT lần lau.</t>
  </si>
  <si>
    <t xml:space="preserve">• Gói cơ bản: lau mặt ngoài mỗi ngày, 30 lần/tháng, kính cao ≤ 3 m (đứng dưới đất hoặc thang ngắn + sào).</t>
  </si>
  <si>
    <t xml:space="preserve">• Tất cả số tiền tính bằng VNĐ. Số liệu là ƯỚC TÍNH ban đầu – cần cập nhật sau khi khảo sát thực tế và chạy thử.</t>
  </si>
  <si>
    <t xml:space="preserve">SHEET</t>
  </si>
  <si>
    <t xml:space="preserve">GiaDinh  – toàn bộ giả định đầu vào (lương, năng suất, chi phí chung, thuế, lợi nhuận mục tiêu).</t>
  </si>
  <si>
    <t xml:space="preserve">DauTu    – danh sách trang thiết bị &amp; chi phí khởi nghiệp.</t>
  </si>
  <si>
    <t xml:space="preserve">TinhGia  – cộng dồn chi phí ra giá vốn/m², giá bán/m², bảng giá các gói.</t>
  </si>
  <si>
    <t xml:space="preserve">DoNhay   – độ nhạy của giá theo tốc độ lau, tỷ lệ lấp đầy, diện tích kính/cửa hàng.</t>
  </si>
  <si>
    <t xml:space="preserve">DuBao12T – dự báo 12 tháng: số công nhân cần, doanh thu, chi phí, dòng tiền, tháng hoàn vốn.</t>
  </si>
  <si>
    <t xml:space="preserve">GIẢ ĐỊNH ĐẦU VÀO (sửa ô chữ xanh)</t>
  </si>
  <si>
    <t xml:space="preserve">Nhóm</t>
  </si>
  <si>
    <t xml:space="preserve">Hạng mục</t>
  </si>
  <si>
    <t xml:space="preserve">Giá trị</t>
  </si>
  <si>
    <t xml:space="preserve">Đơn vị</t>
  </si>
  <si>
    <t xml:space="preserve">Ghi chú / nguồn</t>
  </si>
  <si>
    <t xml:space="preserve">1. Lương &amp; chi phí 1 công nhân / tháng</t>
  </si>
  <si>
    <t xml:space="preserve">Lương cơ bản</t>
  </si>
  <si>
    <t xml:space="preserve">đ/tháng</t>
  </si>
  <si>
    <t xml:space="preserve">Thị trường tạp vụ 5–8 tr/tháng (2026); Phú Quốc thiếu lao động, làm sáng sớm ngoài trời → chọn 7 tr. Nguồn: CareerViet/Vieclam24h.</t>
  </si>
  <si>
    <t xml:space="preserve">Phụ cấp xăng xe + điện thoại</t>
  </si>
  <si>
    <t xml:space="preserve">CN dùng xe máy cá nhân chạy giữa các cửa hàng.</t>
  </si>
  <si>
    <t xml:space="preserve">Thưởng chuyên cần / chất lượng</t>
  </si>
  <si>
    <t xml:space="preserve">Chỉ trả khi không bị khách phàn nàn và đủ ảnh check-in.</t>
  </si>
  <si>
    <t xml:space="preserve">Lương làm căn cứ đóng BH</t>
  </si>
  <si>
    <t xml:space="preserve">Bằng lương tối thiểu vùng II năm 2026 (NĐ 293/2025). Đặc khu Phú Quốc thuộc vùng II.</t>
  </si>
  <si>
    <t xml:space="preserve">Tỷ lệ BHXH+BHYT+BHTN doanh nghiệp đóng</t>
  </si>
  <si>
    <t xml:space="preserve">%</t>
  </si>
  <si>
    <t xml:space="preserve">17,5% BHXH + 3% BHYT + 1% BHTN.</t>
  </si>
  <si>
    <t xml:space="preserve">Bảo hiểm tai nạn 24/24 (mua ngoài)</t>
  </si>
  <si>
    <t xml:space="preserve">≈ 300.000 đ/người/năm.</t>
  </si>
  <si>
    <t xml:space="preserve">Trích lương tháng 13 / nghỉ phép</t>
  </si>
  <si>
    <t xml:space="preserve">Lương cơ bản / 12.</t>
  </si>
  <si>
    <t xml:space="preserve">TỔNG CHI PHÍ 1 CÔNG NHÂN</t>
  </si>
  <si>
    <t xml:space="preserve">Công thức.</t>
  </si>
  <si>
    <t xml:space="preserve">2. Thời gian &amp; năng suất</t>
  </si>
  <si>
    <t xml:space="preserve">Số ngày làm / tháng (mỗi CN)</t>
  </si>
  <si>
    <t xml:space="preserve">ngày</t>
  </si>
  <si>
    <t xml:space="preserve">Nghỉ 4 ngày/tháng. Cửa hàng cần lau 30 ngày → xếp ca xoay vòng.</t>
  </si>
  <si>
    <t xml:space="preserve">Giờ làm hiệu quả / ngày</t>
  </si>
  <si>
    <t xml:space="preserve">giờ</t>
  </si>
  <si>
    <t xml:space="preserve">Ca 8 tiếng trừ họp đầu ca, lấy nước, nghỉ.</t>
  </si>
  <si>
    <t xml:space="preserve">Tốc độ lau (mặt ngoài, bẩn nhẹ hằng ngày)</t>
  </si>
  <si>
    <t xml:space="preserve">phút/m²</t>
  </si>
  <si>
    <t xml:space="preserve">≈ 60 m²/giờ gồm lau khung, cạnh. Thợ chuyên nghiệp 0,5–0,7; thợ mới 1,2–1,5. CẦN ĐO THỰC TẾ KHI CHẠY THỬ.</t>
  </si>
  <si>
    <t xml:space="preserve">Thời gian cố định mỗi lần ghé 1 cửa hàng</t>
  </si>
  <si>
    <t xml:space="preserve">phút</t>
  </si>
  <si>
    <t xml:space="preserve">Di chuyển giữa 2 cửa hàng gần nhau (~5 phút) + bày/dọn dụng cụ, chụp ảnh (~5 phút).</t>
  </si>
  <si>
    <t xml:space="preserve">Diện tích kính bình quân / cửa hàng (1 mặt)</t>
  </si>
  <si>
    <t xml:space="preserve">m²</t>
  </si>
  <si>
    <t xml:space="preserve">Mặt tiền 5 m × cao 3 m + cửa ra vào ≈ 15–25 m². Đo thực tế 30 cửa hàng khi khảo sát.</t>
  </si>
  <si>
    <t xml:space="preserve">Số lần lau / tháng (gói hằng ngày)</t>
  </si>
  <si>
    <t xml:space="preserve">lần</t>
  </si>
  <si>
    <t xml:space="preserve">Cửa hàng du lịch mở cửa cả tuần.</t>
  </si>
  <si>
    <t xml:space="preserve">Tỷ lệ lấp đầy (thời gian thực sự có việc)</t>
  </si>
  <si>
    <t xml:space="preserve">Phần còn lại là thời gian chết (khách hẹn lệch giờ, mưa, chờ mở cửa). Giai đoạn đầu thường 60–70%.</t>
  </si>
  <si>
    <t xml:space="preserve">3. Vật tư, dụng cụ</t>
  </si>
  <si>
    <t xml:space="preserve">Số tháng khấu hao bộ dụng cụ</t>
  </si>
  <si>
    <t xml:space="preserve">tháng</t>
  </si>
  <si>
    <t xml:space="preserve">Dụng cụ ngoài trời, gió muối → dùng ~1 năm.</t>
  </si>
  <si>
    <t xml:space="preserve">Vật tư tiêu hao / CN / tháng</t>
  </si>
  <si>
    <t xml:space="preserve">Lưỡi gạt cao su (2 cái), áo bông, khăn microfiber thay mới.</t>
  </si>
  <si>
    <t xml:space="preserve">Hóa chất + nước / m²</t>
  </si>
  <si>
    <t xml:space="preserve">đ/m²</t>
  </si>
  <si>
    <t xml:space="preserve">Nước lau kính đậm đặc ~60.000 đ/lít pha 1:100, ~0,04 lít dung dịch/m² → ~25 đ/m²; cộng hao hụt → 50 đ.</t>
  </si>
  <si>
    <t xml:space="preserve">4. Chi phí chung (quản lý thay chủ) / tháng</t>
  </si>
  <si>
    <t xml:space="preserve">Chuyển sang giai đoạn 2 khi số CN ≥</t>
  </si>
  <si>
    <t xml:space="preserve">người</t>
  </si>
  <si>
    <t xml:space="preserve">Từ quy mô này cần 1 giám sát kiêm bán hàng toàn thời gian.</t>
  </si>
  <si>
    <t xml:space="preserve">Chi phí chung GĐ1 (≤ 5 CN)</t>
  </si>
  <si>
    <t xml:space="preserve">Phụ cấp tổ trưởng 2 tr + marketing 2 tr + điện thoại/Zalo 0,5 tr + kế toán 0,8 tr + chỗ để đồ 1,5 tr + quỹ sự cố (vỡ/trầy kính) 1 tr.</t>
  </si>
  <si>
    <t xml:space="preserve">Chi phí chung GĐ2 (≥ ngưỡng)</t>
  </si>
  <si>
    <t xml:space="preserve">Giám sát/sales 12 tr + marketing 3 tr + điện thoại 0,5 tr + kế toán 1,5 tr + kho 1,5 tr + quỹ sự cố 1,5 tr.</t>
  </si>
  <si>
    <t xml:space="preserve">Quy mô tham chiếu để tính giá</t>
  </si>
  <si>
    <t xml:space="preserve">công nhân</t>
  </si>
  <si>
    <t xml:space="preserve">Giá được tính khi đội đã ổn định ở quy mô này.</t>
  </si>
  <si>
    <t xml:space="preserve">5. Thuế &amp; lợi nhuận</t>
  </si>
  <si>
    <t xml:space="preserve">Dự phòng thuế trong giá bán</t>
  </si>
  <si>
    <t xml:space="preserve">% doanh thu</t>
  </si>
  <si>
    <t xml:space="preserve">Hộ kinh doanh dịch vụ: GTGT 5% + TNCN 2% trên phần doanh thu vượt 500 tr/năm (từ 2026). Bình quân thực tế ~3–5%.</t>
  </si>
  <si>
    <t xml:space="preserve">Thuế suất hộ KD dịch vụ (GTGT + TNCN)</t>
  </si>
  <si>
    <t xml:space="preserve">Dùng trong DuBao12T. Kiểm tra lại với cơ quan thuế đặc khu.</t>
  </si>
  <si>
    <t xml:space="preserve">Ngưỡng doanh thu không chịu thuế</t>
  </si>
  <si>
    <t xml:space="preserve">đ/năm</t>
  </si>
  <si>
    <t xml:space="preserve">Áp dụng từ 01/01/2026 cho hộ kinh doanh.</t>
  </si>
  <si>
    <t xml:space="preserve">Biên lợi nhuận mục tiêu (trên giá bán)</t>
  </si>
  <si>
    <t xml:space="preserve">Lợi nhuận của chủ – vì chủ không trực tiếp làm.</t>
  </si>
  <si>
    <t xml:space="preserve">6. Hệ số giá các gói khác (so với gói hằng ngày)</t>
  </si>
  <si>
    <t xml:space="preserve">Gói cách ngày (15 lần/tháng)</t>
  </si>
  <si>
    <t xml:space="preserve">x</t>
  </si>
  <si>
    <t xml:space="preserve">Kính bẩn hơn + chi phí di chuyển chia cho ít lần hơn.</t>
  </si>
  <si>
    <t xml:space="preserve">Gói hằng tuần (4 lần/tháng)</t>
  </si>
  <si>
    <t xml:space="preserve">Kính bẩn nhiều, lau lâu hơn.</t>
  </si>
  <si>
    <t xml:space="preserve">Vệ sinh tổng 1 lần (2 mặt, cạo sơn/keo, lau khung)</t>
  </si>
  <si>
    <t xml:space="preserve">Thị trường 5.000–7.000 đ/m² (TP lớn, 2025).</t>
  </si>
  <si>
    <t xml:space="preserve">Phụ thu kính cao &gt; 3 m</t>
  </si>
  <si>
    <t xml:space="preserve">Cần thang cao/sào dài, 2 người.</t>
  </si>
  <si>
    <t xml:space="preserve">Diện tích tính tối thiểu / lần ghé</t>
  </si>
  <si>
    <t xml:space="preserve">Cửa hàng nhỏ vẫn tốn thời gian di chuyển.</t>
  </si>
  <si>
    <t xml:space="preserve">TRANG THIẾT BỊ &amp; CHI PHÍ KHỞI NGHIỆP (giá tham khảo 2026, VNĐ)</t>
  </si>
  <si>
    <t xml:space="preserve">Số lượng</t>
  </si>
  <si>
    <t xml:space="preserve">Đơn giá</t>
  </si>
  <si>
    <t xml:space="preserve">Thành tiền</t>
  </si>
  <si>
    <t xml:space="preserve">Ghi chú</t>
  </si>
  <si>
    <t xml:space="preserve">A. BỘ DỤNG CỤ CHO 1 CÔNG NHÂN</t>
  </si>
  <si>
    <t xml:space="preserve">Gạt kính cán inox 35–45 cm (loại tốt: Unger/Ettore hoặc tương đương)</t>
  </si>
  <si>
    <t xml:space="preserve">1 cái dùng, 1 cái dự phòng</t>
  </si>
  <si>
    <t xml:space="preserve">Bông lau kính 35 cm kèm 2 áo bông thay</t>
  </si>
  <si>
    <t xml:space="preserve">Strip washer</t>
  </si>
  <si>
    <t xml:space="preserve">Sào nối dài 3 đoạn 1,2–3,6 m</t>
  </si>
  <si>
    <t xml:space="preserve">Lau kính cao không cần thang</t>
  </si>
  <si>
    <t xml:space="preserve">Dao cạo kính + 10 lưỡi thay</t>
  </si>
  <si>
    <t xml:space="preserve">Cạo vết sơn, băng keo, phân chim</t>
  </si>
  <si>
    <t xml:space="preserve">Xô chữ nhật 20 L</t>
  </si>
  <si>
    <t xml:space="preserve">Vừa bông lau 35 cm</t>
  </si>
  <si>
    <t xml:space="preserve">Khăn microfiber (bộ 10 cái)</t>
  </si>
  <si>
    <t xml:space="preserve">Lau khung, mép</t>
  </si>
  <si>
    <t xml:space="preserve">Túi đeo hông đựng dụng cụ</t>
  </si>
  <si>
    <t xml:space="preserve">Bình xịt 1 L</t>
  </si>
  <si>
    <t xml:space="preserve">Thang nhôm chữ A 5 bậc (~1,5 m)</t>
  </si>
  <si>
    <t xml:space="preserve">Gọn, chở được trên xe máy</t>
  </si>
  <si>
    <t xml:space="preserve">Đồng phục in logo 3 bộ + nón + găng tay + áo mưa</t>
  </si>
  <si>
    <t xml:space="preserve">Tạo hình ảnh chuyên nghiệp</t>
  </si>
  <si>
    <t xml:space="preserve">Tổng 1 bộ dụng cụ / công nhân</t>
  </si>
  <si>
    <t xml:space="preserve">B. KHỞI NGHIỆP</t>
  </si>
  <si>
    <t xml:space="preserve">Số bộ dụng cụ mua ban đầu (= số CN tháng đầu)</t>
  </si>
  <si>
    <t xml:space="preserve">2 CN chính + 1 CN dự phòng/tổ trưởng</t>
  </si>
  <si>
    <t xml:space="preserve">Thang nhôm rút gọn 3,8 m (dùng chung)</t>
  </si>
  <si>
    <t xml:space="preserve">Cho kính cao, vệ sinh tổng</t>
  </si>
  <si>
    <t xml:space="preserve">Sào dài 6 m (dùng chung)</t>
  </si>
  <si>
    <t xml:space="preserve">Hóa chất lau kính đậm đặc can 5 L</t>
  </si>
  <si>
    <t xml:space="preserve">Đủ dùng vài tháng</t>
  </si>
  <si>
    <t xml:space="preserve">Điện thoại hotline + SIM số đẹp</t>
  </si>
  <si>
    <t xml:space="preserve">Zalo công việc, nhận đơn</t>
  </si>
  <si>
    <t xml:space="preserve">Đăng ký hộ kinh doanh, con dấu, TK ngân hàng</t>
  </si>
  <si>
    <t xml:space="preserve">UBND đặc khu Phú Quốc (một cửa)</t>
  </si>
  <si>
    <t xml:space="preserve">Marketing khai trương (tờ rơi 1.000 tờ, danh thiếp, Google Maps, fanpage)</t>
  </si>
  <si>
    <t xml:space="preserve">Chạy thử miễn phí 7 ngày cho 15 cửa hàng (vật tư, quà)</t>
  </si>
  <si>
    <t xml:space="preserve">Nhân công đã tính trong lương</t>
  </si>
  <si>
    <t xml:space="preserve">Dự phòng phát sinh</t>
  </si>
  <si>
    <t xml:space="preserve">TỔNG ĐẦU TƯ BAN ĐẦU (chưa gồm vốn lưu động)</t>
  </si>
  <si>
    <t xml:space="preserve">Ghi chú: xe máy do công nhân tự túc (đã có phụ cấp xăng). Nếu mua xe cho CN: +15–20 tr/xe cũ.</t>
  </si>
  <si>
    <t xml:space="preserve">Chưa đầu tư máy nước tinh khiết (pure water, 30–60 tr) – chỉ cân nhắc khi có hợp đồng kính cao tầng/resort.</t>
  </si>
  <si>
    <t xml:space="preserve">TÍNH GIÁ VỐN &amp; GIÁ BÁN / m² / LẦN LAU (gói hằng ngày, mặt ngoài)</t>
  </si>
  <si>
    <t xml:space="preserve">Bước</t>
  </si>
  <si>
    <t xml:space="preserve">Chỉ tiêu</t>
  </si>
  <si>
    <t xml:space="preserve">Cách tính</t>
  </si>
  <si>
    <t xml:space="preserve">1</t>
  </si>
  <si>
    <t xml:space="preserve">Chi phí 1 công nhân / tháng</t>
  </si>
  <si>
    <t xml:space="preserve">Từ GiaDinh</t>
  </si>
  <si>
    <t xml:space="preserve">2</t>
  </si>
  <si>
    <t xml:space="preserve">Phút làm việc hiệu quả / CN / tháng</t>
  </si>
  <si>
    <t xml:space="preserve">ngày × giờ × 60</t>
  </si>
  <si>
    <t xml:space="preserve">3</t>
  </si>
  <si>
    <t xml:space="preserve">Chi phí nhân công / phút có mặt</t>
  </si>
  <si>
    <t xml:space="preserve">đ/phút</t>
  </si>
  <si>
    <t xml:space="preserve">(1) / (2)</t>
  </si>
  <si>
    <t xml:space="preserve">4</t>
  </si>
  <si>
    <t xml:space="preserve">Dụng cụ (khấu hao) + tiêu hao / CN / tháng</t>
  </si>
  <si>
    <t xml:space="preserve">bộ dụng cụ / số tháng + tiêu hao</t>
  </si>
  <si>
    <t xml:space="preserve">5</t>
  </si>
  <si>
    <t xml:space="preserve">Dụng cụ / phút có mặt</t>
  </si>
  <si>
    <t xml:space="preserve">(4) / (2)</t>
  </si>
  <si>
    <t xml:space="preserve">6</t>
  </si>
  <si>
    <t xml:space="preserve">Thời gian thực tế cho 1 m² (gồm phần di chuyển)</t>
  </si>
  <si>
    <t xml:space="preserve">tốc độ lau + thời gian cố định / m² mỗi cửa hàng</t>
  </si>
  <si>
    <t xml:space="preserve">7</t>
  </si>
  <si>
    <t xml:space="preserve">Năng lực 1 CN (m² lau được / tháng)</t>
  </si>
  <si>
    <t xml:space="preserve">m²/tháng</t>
  </si>
  <si>
    <t xml:space="preserve">(2) × lấp đầy / (6)</t>
  </si>
  <si>
    <t xml:space="preserve">  … tương đương m² / ngày làm</t>
  </si>
  <si>
    <t xml:space="preserve">m²/ngày</t>
  </si>
  <si>
    <t xml:space="preserve">  … tương đương số cửa hàng / ngày làm</t>
  </si>
  <si>
    <t xml:space="preserve">cửa hàng</t>
  </si>
  <si>
    <t xml:space="preserve">8</t>
  </si>
  <si>
    <t xml:space="preserve">Tổng m²/tháng ở quy mô tham chiếu</t>
  </si>
  <si>
    <t xml:space="preserve">(7) × số CN tham chiếu</t>
  </si>
  <si>
    <t xml:space="preserve">9</t>
  </si>
  <si>
    <t xml:space="preserve">Chi phí chung / tháng ở quy mô tham chiếu</t>
  </si>
  <si>
    <t xml:space="preserve">GĐ1 hoặc GĐ2 theo số CN</t>
  </si>
  <si>
    <t xml:space="preserve">GIÁ VỐN / m² / LẦN</t>
  </si>
  <si>
    <t xml:space="preserve">10</t>
  </si>
  <si>
    <t xml:space="preserve">Nhân công</t>
  </si>
  <si>
    <t xml:space="preserve">(3) × (6) / lấp đầy</t>
  </si>
  <si>
    <t xml:space="preserve">11</t>
  </si>
  <si>
    <t xml:space="preserve">Dụng cụ &amp; vật tư tiêu hao</t>
  </si>
  <si>
    <t xml:space="preserve">(5) × (6) / lấp đầy</t>
  </si>
  <si>
    <t xml:space="preserve">12</t>
  </si>
  <si>
    <t xml:space="preserve">Hóa chất + nước</t>
  </si>
  <si>
    <t xml:space="preserve">13</t>
  </si>
  <si>
    <t xml:space="preserve">Chi phí chung (quản lý, marketing, kho…)</t>
  </si>
  <si>
    <t xml:space="preserve">(9) / (8)</t>
  </si>
  <si>
    <t xml:space="preserve">14</t>
  </si>
  <si>
    <t xml:space="preserve">GIÁ VỐN / m²</t>
  </si>
  <si>
    <t xml:space="preserve">(10)+(11)+(12)+(13)</t>
  </si>
  <si>
    <t xml:space="preserve">GIÁ BÁN</t>
  </si>
  <si>
    <t xml:space="preserve">15</t>
  </si>
  <si>
    <t xml:space="preserve">Giá bán tối thiểu để đạt lợi nhuận mục tiêu</t>
  </si>
  <si>
    <t xml:space="preserve">giá vốn / (1 − thuế − lợi nhuận)</t>
  </si>
  <si>
    <t xml:space="preserve">16</t>
  </si>
  <si>
    <t xml:space="preserve">GIÁ BÁN ĐỀ XUẤT (làm tròn lên 100 đ)</t>
  </si>
  <si>
    <t xml:space="preserve">đ/m²/lần</t>
  </si>
  <si>
    <t xml:space="preserve">Gói hằng ngày, mặt ngoài, kính ≤ 3 m</t>
  </si>
  <si>
    <t xml:space="preserve">17</t>
  </si>
  <si>
    <t xml:space="preserve">Giá hòa vốn (lợi nhuận = 0)</t>
  </si>
  <si>
    <t xml:space="preserve">Không bán thấp hơn giá này</t>
  </si>
  <si>
    <t xml:space="preserve">18</t>
  </si>
  <si>
    <t xml:space="preserve">Lợi nhuận / m² ở giá đề xuất</t>
  </si>
  <si>
    <t xml:space="preserve">19</t>
  </si>
  <si>
    <t xml:space="preserve">Lợi nhuận / tháng ở quy mô tham chiếu</t>
  </si>
  <si>
    <t xml:space="preserve">(18) × (8)</t>
  </si>
  <si>
    <t xml:space="preserve">20</t>
  </si>
  <si>
    <t xml:space="preserve">Doanh thu / tháng ở quy mô tham chiếu</t>
  </si>
  <si>
    <t xml:space="preserve">21</t>
  </si>
  <si>
    <t xml:space="preserve">Số cửa hàng cần có (gói hằng ngày) để lấp đầy</t>
  </si>
  <si>
    <t xml:space="preserve">BẢNG GIÁ GỢI Ý (đ/m²/lần)</t>
  </si>
  <si>
    <t xml:space="preserve">Gói hằng ngày (30 lần/tháng)</t>
  </si>
  <si>
    <t xml:space="preserve">× hệ số GiaDinh</t>
  </si>
  <si>
    <t xml:space="preserve">Vệ sinh tổng 1 lần (2 mặt)</t>
  </si>
  <si>
    <t xml:space="preserve">× hệ số, làm tròn 500 đ</t>
  </si>
  <si>
    <t xml:space="preserve">Phụ thu kính cao &gt; 3 m (nhân với giá gói)</t>
  </si>
  <si>
    <t xml:space="preserve">VÍ DỤ: CỬA HÀNG CÓ DIỆN TÍCH KÍNH BÌNH QUÂN</t>
  </si>
  <si>
    <t xml:space="preserve">Diện tích kính mặt ngoài</t>
  </si>
  <si>
    <t xml:space="preserve">Phí mỗi lần lau</t>
  </si>
  <si>
    <t xml:space="preserve">đ/lần</t>
  </si>
  <si>
    <t xml:space="preserve">Phí gói hằng ngày / tháng</t>
  </si>
  <si>
    <t xml:space="preserve">Phí gói cách ngày / tháng</t>
  </si>
  <si>
    <t xml:space="preserve">Phí gói hằng tuần / tháng</t>
  </si>
  <si>
    <t xml:space="preserve">Phí tối thiểu gói hằng ngày (cửa hàng nhỏ)</t>
  </si>
  <si>
    <t xml:space="preserve">ĐỘ NHẠY: GIÁ BÁN ĐỀ XUẤT (đ/m²) THAY ĐỔI THẾ NÀO?</t>
  </si>
  <si>
    <t xml:space="preserve">Bảng 1 – Giá bán theo TỐC ĐỘ LAU (dòng) và TỶ LỆ LẤP ĐẦY (cột). Các giả định khác lấy từ GiaDinh.</t>
  </si>
  <si>
    <t xml:space="preserve">phút/m² \ lấp đầy</t>
  </si>
  <si>
    <t xml:space="preserve">Bảng 2 – Theo DIỆN TÍCH KÍNH / CỬA HÀNG (cửa hàng nhỏ tốn tiền di chuyển hơn trên mỗi m²).</t>
  </si>
  <si>
    <t xml:space="preserve">m² / cửa hàng</t>
  </si>
  <si>
    <t xml:space="preserve">Giá bán đ/m²</t>
  </si>
  <si>
    <t xml:space="preserve">Phí gói ngày / tháng</t>
  </si>
  <si>
    <t xml:space="preserve">Số cửa hàng / CN / ngày</t>
  </si>
  <si>
    <t xml:space="preserve">Đọc bảng: nếu thợ chỉ lau được 1,5 phút/m² và lấp đầy 60%, giá phải lên mức ô tương ứng. → Đào tạo tốc độ + gom khách theo tuyến là 2 đòn bẩy quan trọng nhất.</t>
  </si>
  <si>
    <t xml:space="preserve">DỰ BÁO 12 THÁNG ĐẦU (dòng tiền, VNĐ)</t>
  </si>
  <si>
    <t xml:space="preserve">Sửa dòng 'Số cửa hàng ký gói ngày' (chữ xanh) theo kế hoạch bán hàng thực tế. Tháng 0 = chuẩn bị &amp; mua sắm.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</si>
  <si>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</si>
  <si>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</si>
  <si>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</si>
  <si>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</si>
  <si>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</si>
  <si>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</si>
  <si>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</si>
  <si>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</si>
  <si>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</si>
  <si>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</si>
  <si>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</si>
  <si>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</si>
  <si>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</si>
  <si>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Số cửa hàng ký gói ngày (cuối tháng)</t>
  </si>
  <si>
    <t xml:space="preserve">m² lau / tháng</t>
  </si>
  <si>
    <t xml:space="preserve">Phút lao động cần</t>
  </si>
  <si>
    <t xml:space="preserve">Số công nhân cần (tối thiểu 2 để xoay ca 30 ngày)</t>
  </si>
  <si>
    <t xml:space="preserve">Doanh thu gói hằng ngày</t>
  </si>
  <si>
    <t xml:space="preserve">Doanh thu vệ sinh tổng / dịch vụ thêm</t>
  </si>
  <si>
    <t xml:space="preserve">TỔNG DOANH THU</t>
  </si>
  <si>
    <t xml:space="preserve">Lương &amp; bảo hiểm công nhân</t>
  </si>
  <si>
    <t xml:space="preserve">Vật tư tiêu hao</t>
  </si>
  <si>
    <t xml:space="preserve">Thuế hộ KD (trên phần DT vượt ngưỡng, ước theo tháng)</t>
  </si>
  <si>
    <t xml:space="preserve">TỔNG CHI PHÍ HOẠT ĐỘNG</t>
  </si>
  <si>
    <t xml:space="preserve">LỢI NHUẬN HOẠT ĐỘNG</t>
  </si>
  <si>
    <t xml:space="preserve">Biên lợi nhuận</t>
  </si>
  <si>
    <t xml:space="preserve">Đầu tư (T0 = ban đầu; sau đó mua dụng cụ cho CN mới)</t>
  </si>
  <si>
    <t xml:space="preserve">DÒNG TIỀN RÒNG</t>
  </si>
  <si>
    <t xml:space="preserve">Dòng tiền lũy kế</t>
  </si>
  <si>
    <t xml:space="preserve">(phụ) tháng lũy kế chuyển dương</t>
  </si>
  <si>
    <t xml:space="preserve">VỐN CẦN CHUẨN BỊ (đáy dòng tiền lũy kế)</t>
  </si>
  <si>
    <t xml:space="preserve">→ nên chuẩn bị thêm 20–30% dự phòng.</t>
  </si>
  <si>
    <t xml:space="preserve">Tháng hoàn vốn (lũy kế ≥ 0)</t>
  </si>
  <si>
    <t xml:space="preserve">Lợi nhuận cả năm 1 (T1–T12)</t>
  </si>
  <si>
    <t xml:space="preserve">Doanh thu cả năm 1 (T1–T12)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</si>
</sst>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(0.0%\);\-"/>
    <numFmt numFmtId="167" formatCode="0"/>
    <numFmt numFmtId="168" formatCode="0.0"/>
    <numFmt numFmtId="169" formatCode="0.00"/>
    <numFmt numFmtId="170" formatCode="#,##0"/>
    <numFmt numFmtId="171" formatCode="#,##0.00;\(#,##0.00\);\-"/>
    <numFmt numFmtId="172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16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</row>
    <row r="4" customFormat="false" ht="15" hidden="false" customHeight="false" outlineLevel="0" collapsed="false">
      <c r="A4" s="6" t="s">
        <v>22</v>
      </c>
      <c r="B4" s="7"/>
      <c r="C4" s="7"/>
      <c r="D4" s="7"/>
      <c r="E4" s="7"/>
    </row>
    <row r="5" customFormat="false" ht="26.85" hidden="false" customHeight="false" outlineLevel="0" collapsed="false">
      <c r="A5" s="2"/>
      <c r="B5" s="3" t="s">
        <v>23</v>
      </c>
      <c r="C5" s="8" t="n">
        <v>7000000</v>
      </c>
      <c r="D5" s="3" t="s">
        <v>24</v>
      </c>
      <c r="E5" s="9" t="s">
        <v>25</v>
      </c>
    </row>
    <row r="6" customFormat="false" ht="15" hidden="false" customHeight="false" outlineLevel="0" collapsed="false">
      <c r="A6" s="2"/>
      <c r="B6" s="3" t="s">
        <v>26</v>
      </c>
      <c r="C6" s="10" t="n">
        <v>700000</v>
      </c>
      <c r="D6" s="3" t="s">
        <v>24</v>
      </c>
      <c r="E6" s="9" t="s">
        <v>27</v>
      </c>
    </row>
    <row r="7" customFormat="false" ht="15" hidden="false" customHeight="false" outlineLevel="0" collapsed="false">
      <c r="A7" s="2"/>
      <c r="B7" s="3" t="s">
        <v>28</v>
      </c>
      <c r="C7" s="10" t="n">
        <v>500000</v>
      </c>
      <c r="D7" s="3" t="s">
        <v>24</v>
      </c>
      <c r="E7" s="9" t="s">
        <v>29</v>
      </c>
    </row>
    <row r="8" customFormat="false" ht="15" hidden="false" customHeight="false" outlineLevel="0" collapsed="false">
      <c r="A8" s="2"/>
      <c r="B8" s="3" t="s">
        <v>30</v>
      </c>
      <c r="C8" s="10" t="n">
        <v>4730000</v>
      </c>
      <c r="D8" s="3" t="s">
        <v>24</v>
      </c>
      <c r="E8" s="9" t="s">
        <v>31</v>
      </c>
    </row>
    <row r="9" customFormat="false" ht="15" hidden="false" customHeight="false" outlineLevel="0" collapsed="false">
      <c r="A9" s="2"/>
      <c r="B9" s="3" t="s">
        <v>32</v>
      </c>
      <c r="C9" s="11" t="n">
        <v>0.215</v>
      </c>
      <c r="D9" s="3" t="s">
        <v>33</v>
      </c>
      <c r="E9" s="9" t="s">
        <v>34</v>
      </c>
    </row>
    <row r="10" customFormat="false" ht="15" hidden="false" customHeight="false" outlineLevel="0" collapsed="false">
      <c r="A10" s="2"/>
      <c r="B10" s="3" t="s">
        <v>35</v>
      </c>
      <c r="C10" s="10" t="n">
        <v>25000</v>
      </c>
      <c r="D10" s="3" t="s">
        <v>24</v>
      </c>
      <c r="E10" s="9" t="s">
        <v>36</v>
      </c>
    </row>
    <row r="11" customFormat="false" ht="15" hidden="false" customHeight="false" outlineLevel="0" collapsed="false">
      <c r="A11" s="2"/>
      <c r="B11" s="3" t="s">
        <v>37</v>
      </c>
      <c r="C11" s="12" t="n">
        <f aca="false">$C$5/12</f>
        <v>583333.333333333</v>
      </c>
      <c r="D11" s="3" t="s">
        <v>24</v>
      </c>
      <c r="E11" s="9" t="s">
        <v>38</v>
      </c>
    </row>
    <row r="12" customFormat="false" ht="15" hidden="false" customHeight="false" outlineLevel="0" collapsed="false">
      <c r="A12" s="2"/>
      <c r="B12" s="4" t="s">
        <v>39</v>
      </c>
      <c r="C12" s="12" t="n">
        <f aca="false">$C$5+$C$6+$C$7+$C$8*$C$9+$C$10+$C$11</f>
        <v>9825283.33333333</v>
      </c>
      <c r="D12" s="3" t="s">
        <v>24</v>
      </c>
      <c r="E12" s="9" t="s">
        <v>40</v>
      </c>
    </row>
    <row r="13" customFormat="false" ht="15" hidden="false" customHeight="false" outlineLevel="0" collapsed="false">
      <c r="A13" s="6" t="s">
        <v>41</v>
      </c>
      <c r="B13" s="7"/>
      <c r="C13" s="7"/>
      <c r="D13" s="7"/>
      <c r="E13" s="7"/>
    </row>
    <row r="14" customFormat="false" ht="15" hidden="false" customHeight="false" outlineLevel="0" collapsed="false">
      <c r="A14" s="2"/>
      <c r="B14" s="3" t="s">
        <v>42</v>
      </c>
      <c r="C14" s="13" t="n">
        <v>26</v>
      </c>
      <c r="D14" s="3" t="s">
        <v>43</v>
      </c>
      <c r="E14" s="9" t="s">
        <v>44</v>
      </c>
    </row>
    <row r="15" customFormat="false" ht="15" hidden="false" customHeight="false" outlineLevel="0" collapsed="false">
      <c r="A15" s="2"/>
      <c r="B15" s="3" t="s">
        <v>45</v>
      </c>
      <c r="C15" s="14" t="n">
        <v>7</v>
      </c>
      <c r="D15" s="3" t="s">
        <v>46</v>
      </c>
      <c r="E15" s="9" t="s">
        <v>47</v>
      </c>
    </row>
    <row r="16" customFormat="false" ht="15" hidden="false" customHeight="false" outlineLevel="0" collapsed="false">
      <c r="A16" s="2"/>
      <c r="B16" s="3" t="s">
        <v>48</v>
      </c>
      <c r="C16" s="15" t="n">
        <v>1</v>
      </c>
      <c r="D16" s="3" t="s">
        <v>49</v>
      </c>
      <c r="E16" s="9" t="s">
        <v>50</v>
      </c>
    </row>
    <row r="17" customFormat="false" ht="15" hidden="false" customHeight="false" outlineLevel="0" collapsed="false">
      <c r="A17" s="2"/>
      <c r="B17" s="3" t="s">
        <v>51</v>
      </c>
      <c r="C17" s="16" t="n">
        <v>10</v>
      </c>
      <c r="D17" s="3" t="s">
        <v>52</v>
      </c>
      <c r="E17" s="9" t="s">
        <v>53</v>
      </c>
    </row>
    <row r="18" customFormat="false" ht="15" hidden="false" customHeight="false" outlineLevel="0" collapsed="false">
      <c r="A18" s="2"/>
      <c r="B18" s="3" t="s">
        <v>54</v>
      </c>
      <c r="C18" s="16" t="n">
        <v>20</v>
      </c>
      <c r="D18" s="3" t="s">
        <v>55</v>
      </c>
      <c r="E18" s="9" t="s">
        <v>56</v>
      </c>
    </row>
    <row r="19" customFormat="false" ht="15" hidden="false" customHeight="false" outlineLevel="0" collapsed="false">
      <c r="A19" s="2"/>
      <c r="B19" s="3" t="s">
        <v>57</v>
      </c>
      <c r="C19" s="13" t="n">
        <v>30</v>
      </c>
      <c r="D19" s="3" t="s">
        <v>58</v>
      </c>
      <c r="E19" s="9" t="s">
        <v>59</v>
      </c>
    </row>
    <row r="20" customFormat="false" ht="15" hidden="false" customHeight="false" outlineLevel="0" collapsed="false">
      <c r="A20" s="2"/>
      <c r="B20" s="3" t="s">
        <v>60</v>
      </c>
      <c r="C20" s="17" t="n">
        <v>0.8</v>
      </c>
      <c r="D20" s="3" t="s">
        <v>33</v>
      </c>
      <c r="E20" s="9" t="s">
        <v>61</v>
      </c>
    </row>
    <row r="21" customFormat="false" ht="15" hidden="false" customHeight="false" outlineLevel="0" collapsed="false">
      <c r="A21" s="6" t="s">
        <v>62</v>
      </c>
      <c r="B21" s="7"/>
      <c r="C21" s="7"/>
      <c r="D21" s="7"/>
      <c r="E21" s="7"/>
    </row>
    <row r="22" customFormat="false" ht="15" hidden="false" customHeight="false" outlineLevel="0" collapsed="false">
      <c r="A22" s="2"/>
      <c r="B22" s="3" t="s">
        <v>63</v>
      </c>
      <c r="C22" s="13" t="n">
        <v>12</v>
      </c>
      <c r="D22" s="3" t="s">
        <v>64</v>
      </c>
      <c r="E22" s="9" t="s">
        <v>65</v>
      </c>
    </row>
    <row r="23" customFormat="false" ht="15" hidden="false" customHeight="false" outlineLevel="0" collapsed="false">
      <c r="A23" s="2"/>
      <c r="B23" s="3" t="s">
        <v>66</v>
      </c>
      <c r="C23" s="10" t="n">
        <v>300000</v>
      </c>
      <c r="D23" s="3" t="s">
        <v>24</v>
      </c>
      <c r="E23" s="9" t="s">
        <v>67</v>
      </c>
    </row>
    <row r="24" customFormat="false" ht="15" hidden="false" customHeight="false" outlineLevel="0" collapsed="false">
      <c r="A24" s="2"/>
      <c r="B24" s="3" t="s">
        <v>68</v>
      </c>
      <c r="C24" s="10" t="n">
        <v>50</v>
      </c>
      <c r="D24" s="3" t="s">
        <v>69</v>
      </c>
      <c r="E24" s="9" t="s">
        <v>70</v>
      </c>
    </row>
    <row r="25" customFormat="false" ht="15" hidden="false" customHeight="false" outlineLevel="0" collapsed="false">
      <c r="A25" s="6" t="s">
        <v>71</v>
      </c>
      <c r="B25" s="7"/>
      <c r="C25" s="7"/>
      <c r="D25" s="7"/>
      <c r="E25" s="7"/>
    </row>
    <row r="26" customFormat="false" ht="15" hidden="false" customHeight="false" outlineLevel="0" collapsed="false">
      <c r="A26" s="2"/>
      <c r="B26" s="3" t="s">
        <v>72</v>
      </c>
      <c r="C26" s="13" t="n">
        <v>6</v>
      </c>
      <c r="D26" s="3" t="s">
        <v>73</v>
      </c>
      <c r="E26" s="9" t="s">
        <v>74</v>
      </c>
    </row>
    <row r="27" customFormat="false" ht="26.85" hidden="false" customHeight="false" outlineLevel="0" collapsed="false">
      <c r="A27" s="2"/>
      <c r="B27" s="3" t="s">
        <v>75</v>
      </c>
      <c r="C27" s="8" t="n">
        <v>7800000</v>
      </c>
      <c r="D27" s="3" t="s">
        <v>24</v>
      </c>
      <c r="E27" s="9" t="s">
        <v>76</v>
      </c>
    </row>
    <row r="28" customFormat="false" ht="15" hidden="false" customHeight="false" outlineLevel="0" collapsed="false">
      <c r="A28" s="2"/>
      <c r="B28" s="3" t="s">
        <v>77</v>
      </c>
      <c r="C28" s="10" t="n">
        <v>20000000</v>
      </c>
      <c r="D28" s="3" t="s">
        <v>24</v>
      </c>
      <c r="E28" s="9" t="s">
        <v>78</v>
      </c>
    </row>
    <row r="29" customFormat="false" ht="15" hidden="false" customHeight="false" outlineLevel="0" collapsed="false">
      <c r="A29" s="2"/>
      <c r="B29" s="3" t="s">
        <v>79</v>
      </c>
      <c r="C29" s="16" t="n">
        <v>4</v>
      </c>
      <c r="D29" s="3" t="s">
        <v>80</v>
      </c>
      <c r="E29" s="9" t="s">
        <v>81</v>
      </c>
    </row>
    <row r="30" customFormat="false" ht="15" hidden="false" customHeight="false" outlineLevel="0" collapsed="false">
      <c r="A30" s="6" t="s">
        <v>82</v>
      </c>
      <c r="B30" s="7"/>
      <c r="C30" s="7"/>
      <c r="D30" s="7"/>
      <c r="E30" s="7"/>
    </row>
    <row r="31" customFormat="false" ht="15" hidden="false" customHeight="false" outlineLevel="0" collapsed="false">
      <c r="A31" s="2"/>
      <c r="B31" s="3" t="s">
        <v>83</v>
      </c>
      <c r="C31" s="11" t="n">
        <v>0.05</v>
      </c>
      <c r="D31" s="3" t="s">
        <v>84</v>
      </c>
      <c r="E31" s="9" t="s">
        <v>85</v>
      </c>
    </row>
    <row r="32" customFormat="false" ht="15" hidden="false" customHeight="false" outlineLevel="0" collapsed="false">
      <c r="A32" s="2"/>
      <c r="B32" s="3" t="s">
        <v>86</v>
      </c>
      <c r="C32" s="11" t="n">
        <v>0.07</v>
      </c>
      <c r="D32" s="3" t="s">
        <v>33</v>
      </c>
      <c r="E32" s="9" t="s">
        <v>87</v>
      </c>
    </row>
    <row r="33" customFormat="false" ht="15" hidden="false" customHeight="false" outlineLevel="0" collapsed="false">
      <c r="A33" s="2"/>
      <c r="B33" s="3" t="s">
        <v>88</v>
      </c>
      <c r="C33" s="10" t="n">
        <v>500000000</v>
      </c>
      <c r="D33" s="3" t="s">
        <v>89</v>
      </c>
      <c r="E33" s="9" t="s">
        <v>90</v>
      </c>
    </row>
    <row r="34" customFormat="false" ht="15" hidden="false" customHeight="false" outlineLevel="0" collapsed="false">
      <c r="A34" s="2"/>
      <c r="B34" s="3" t="s">
        <v>91</v>
      </c>
      <c r="C34" s="17" t="n">
        <v>0.25</v>
      </c>
      <c r="D34" s="3" t="s">
        <v>33</v>
      </c>
      <c r="E34" s="9" t="s">
        <v>92</v>
      </c>
    </row>
    <row r="35" customFormat="false" ht="15" hidden="false" customHeight="false" outlineLevel="0" collapsed="false">
      <c r="A35" s="6" t="s">
        <v>93</v>
      </c>
      <c r="B35" s="7"/>
      <c r="C35" s="7"/>
      <c r="D35" s="7"/>
      <c r="E35" s="7"/>
    </row>
    <row r="36" customFormat="false" ht="15" hidden="false" customHeight="false" outlineLevel="0" collapsed="false">
      <c r="A36" s="2"/>
      <c r="B36" s="3" t="s">
        <v>94</v>
      </c>
      <c r="C36" s="18" t="n">
        <v>1.25</v>
      </c>
      <c r="D36" s="3" t="s">
        <v>95</v>
      </c>
      <c r="E36" s="9" t="s">
        <v>96</v>
      </c>
    </row>
    <row r="37" customFormat="false" ht="15" hidden="false" customHeight="false" outlineLevel="0" collapsed="false">
      <c r="A37" s="2"/>
      <c r="B37" s="3" t="s">
        <v>97</v>
      </c>
      <c r="C37" s="18" t="n">
        <v>1.8</v>
      </c>
      <c r="D37" s="3" t="s">
        <v>95</v>
      </c>
      <c r="E37" s="9" t="s">
        <v>98</v>
      </c>
    </row>
    <row r="38" customFormat="false" ht="15" hidden="false" customHeight="false" outlineLevel="0" collapsed="false">
      <c r="A38" s="2"/>
      <c r="B38" s="3" t="s">
        <v>99</v>
      </c>
      <c r="C38" s="18" t="n">
        <v>2.3</v>
      </c>
      <c r="D38" s="3" t="s">
        <v>95</v>
      </c>
      <c r="E38" s="9" t="s">
        <v>100</v>
      </c>
    </row>
    <row r="39" customFormat="false" ht="15" hidden="false" customHeight="false" outlineLevel="0" collapsed="false">
      <c r="A39" s="2"/>
      <c r="B39" s="3" t="s">
        <v>101</v>
      </c>
      <c r="C39" s="18" t="n">
        <v>1.5</v>
      </c>
      <c r="D39" s="3" t="s">
        <v>95</v>
      </c>
      <c r="E39" s="9" t="s">
        <v>102</v>
      </c>
    </row>
    <row r="40" customFormat="false" ht="15" hidden="false" customHeight="false" outlineLevel="0" collapsed="false">
      <c r="A40" s="2"/>
      <c r="B40" s="3" t="s">
        <v>103</v>
      </c>
      <c r="C40" s="13" t="n">
        <v>10</v>
      </c>
      <c r="D40" s="3" t="s">
        <v>55</v>
      </c>
      <c r="E40" s="9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105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5" t="s">
        <v>18</v>
      </c>
      <c r="B3" s="5" t="s">
        <v>106</v>
      </c>
      <c r="C3" s="5" t="s">
        <v>107</v>
      </c>
      <c r="D3" s="5" t="s">
        <v>108</v>
      </c>
      <c r="E3" s="5" t="s">
        <v>109</v>
      </c>
    </row>
    <row r="4" customFormat="false" ht="15" hidden="false" customHeight="false" outlineLevel="0" collapsed="false">
      <c r="A4" s="4" t="s">
        <v>110</v>
      </c>
      <c r="B4" s="19"/>
      <c r="C4" s="19"/>
      <c r="D4" s="19"/>
      <c r="E4" s="2"/>
    </row>
    <row r="5" customFormat="false" ht="15" hidden="false" customHeight="false" outlineLevel="0" collapsed="false">
      <c r="A5" s="2" t="s">
        <v>111</v>
      </c>
      <c r="B5" s="20" t="n">
        <v>2</v>
      </c>
      <c r="C5" s="20" t="n">
        <v>350000</v>
      </c>
      <c r="D5" s="19" t="n">
        <f aca="false">B5*C5</f>
        <v>700000</v>
      </c>
      <c r="E5" s="2" t="s">
        <v>112</v>
      </c>
    </row>
    <row r="6" customFormat="false" ht="15" hidden="false" customHeight="false" outlineLevel="0" collapsed="false">
      <c r="A6" s="2" t="s">
        <v>113</v>
      </c>
      <c r="B6" s="20" t="n">
        <v>1</v>
      </c>
      <c r="C6" s="20" t="n">
        <v>450000</v>
      </c>
      <c r="D6" s="19" t="n">
        <f aca="false">B6*C6</f>
        <v>450000</v>
      </c>
      <c r="E6" s="2" t="s">
        <v>114</v>
      </c>
    </row>
    <row r="7" customFormat="false" ht="15" hidden="false" customHeight="false" outlineLevel="0" collapsed="false">
      <c r="A7" s="2" t="s">
        <v>115</v>
      </c>
      <c r="B7" s="20" t="n">
        <v>1</v>
      </c>
      <c r="C7" s="20" t="n">
        <v>450000</v>
      </c>
      <c r="D7" s="19" t="n">
        <f aca="false">B7*C7</f>
        <v>450000</v>
      </c>
      <c r="E7" s="2" t="s">
        <v>116</v>
      </c>
    </row>
    <row r="8" customFormat="false" ht="15" hidden="false" customHeight="false" outlineLevel="0" collapsed="false">
      <c r="A8" s="2" t="s">
        <v>117</v>
      </c>
      <c r="B8" s="20" t="n">
        <v>1</v>
      </c>
      <c r="C8" s="20" t="n">
        <v>150000</v>
      </c>
      <c r="D8" s="19" t="n">
        <f aca="false">B8*C8</f>
        <v>150000</v>
      </c>
      <c r="E8" s="2" t="s">
        <v>118</v>
      </c>
    </row>
    <row r="9" customFormat="false" ht="15" hidden="false" customHeight="false" outlineLevel="0" collapsed="false">
      <c r="A9" s="2" t="s">
        <v>119</v>
      </c>
      <c r="B9" s="20" t="n">
        <v>1</v>
      </c>
      <c r="C9" s="20" t="n">
        <v>200000</v>
      </c>
      <c r="D9" s="19" t="n">
        <f aca="false">B9*C9</f>
        <v>200000</v>
      </c>
      <c r="E9" s="2" t="s">
        <v>120</v>
      </c>
    </row>
    <row r="10" customFormat="false" ht="15" hidden="false" customHeight="false" outlineLevel="0" collapsed="false">
      <c r="A10" s="2" t="s">
        <v>121</v>
      </c>
      <c r="B10" s="20" t="n">
        <v>1</v>
      </c>
      <c r="C10" s="20" t="n">
        <v>150000</v>
      </c>
      <c r="D10" s="19" t="n">
        <f aca="false">B10*C10</f>
        <v>150000</v>
      </c>
      <c r="E10" s="2" t="s">
        <v>122</v>
      </c>
    </row>
    <row r="11" customFormat="false" ht="15" hidden="false" customHeight="false" outlineLevel="0" collapsed="false">
      <c r="A11" s="2" t="s">
        <v>123</v>
      </c>
      <c r="B11" s="20" t="n">
        <v>1</v>
      </c>
      <c r="C11" s="20" t="n">
        <v>200000</v>
      </c>
      <c r="D11" s="19" t="n">
        <f aca="false">B11*C11</f>
        <v>200000</v>
      </c>
      <c r="E11" s="2"/>
    </row>
    <row r="12" customFormat="false" ht="15" hidden="false" customHeight="false" outlineLevel="0" collapsed="false">
      <c r="A12" s="2" t="s">
        <v>124</v>
      </c>
      <c r="B12" s="20" t="n">
        <v>2</v>
      </c>
      <c r="C12" s="20" t="n">
        <v>30000</v>
      </c>
      <c r="D12" s="19" t="n">
        <f aca="false">B12*C12</f>
        <v>60000</v>
      </c>
      <c r="E12" s="2"/>
    </row>
    <row r="13" customFormat="false" ht="15" hidden="false" customHeight="false" outlineLevel="0" collapsed="false">
      <c r="A13" s="2" t="s">
        <v>125</v>
      </c>
      <c r="B13" s="20" t="n">
        <v>1</v>
      </c>
      <c r="C13" s="20" t="n">
        <v>900000</v>
      </c>
      <c r="D13" s="19" t="n">
        <f aca="false">B13*C13</f>
        <v>900000</v>
      </c>
      <c r="E13" s="2" t="s">
        <v>126</v>
      </c>
    </row>
    <row r="14" customFormat="false" ht="15" hidden="false" customHeight="false" outlineLevel="0" collapsed="false">
      <c r="A14" s="2" t="s">
        <v>127</v>
      </c>
      <c r="B14" s="20" t="n">
        <v>1</v>
      </c>
      <c r="C14" s="20" t="n">
        <v>750000</v>
      </c>
      <c r="D14" s="19" t="n">
        <f aca="false">B14*C14</f>
        <v>750000</v>
      </c>
      <c r="E14" s="2" t="s">
        <v>128</v>
      </c>
    </row>
    <row r="15" customFormat="false" ht="15" hidden="false" customHeight="false" outlineLevel="0" collapsed="false">
      <c r="A15" s="4" t="s">
        <v>129</v>
      </c>
      <c r="B15" s="19"/>
      <c r="C15" s="19"/>
      <c r="D15" s="21" t="n">
        <f aca="false">SUM(D5:D14)</f>
        <v>4010000</v>
      </c>
      <c r="E15" s="2"/>
    </row>
    <row r="16" customFormat="false" ht="15" hidden="false" customHeight="false" outlineLevel="0" collapsed="false">
      <c r="A16" s="2"/>
      <c r="B16" s="19"/>
      <c r="C16" s="19"/>
      <c r="D16" s="19"/>
      <c r="E16" s="2"/>
    </row>
    <row r="17" customFormat="false" ht="15" hidden="false" customHeight="false" outlineLevel="0" collapsed="false">
      <c r="A17" s="4" t="s">
        <v>130</v>
      </c>
      <c r="B17" s="19"/>
      <c r="C17" s="19"/>
      <c r="D17" s="19"/>
      <c r="E17" s="2"/>
    </row>
    <row r="18" customFormat="false" ht="15" hidden="false" customHeight="false" outlineLevel="0" collapsed="false">
      <c r="A18" s="2" t="s">
        <v>131</v>
      </c>
      <c r="B18" s="22" t="n">
        <v>3</v>
      </c>
      <c r="C18" s="19" t="n">
        <f aca="false">D15</f>
        <v>4010000</v>
      </c>
      <c r="D18" s="19" t="n">
        <f aca="false">B18*C18</f>
        <v>12030000</v>
      </c>
      <c r="E18" s="2" t="s">
        <v>132</v>
      </c>
    </row>
    <row r="19" customFormat="false" ht="15" hidden="false" customHeight="false" outlineLevel="0" collapsed="false">
      <c r="A19" s="2" t="s">
        <v>133</v>
      </c>
      <c r="B19" s="20" t="n">
        <v>1</v>
      </c>
      <c r="C19" s="20" t="n">
        <v>2200000</v>
      </c>
      <c r="D19" s="19" t="n">
        <f aca="false">B19*C19</f>
        <v>2200000</v>
      </c>
      <c r="E19" s="2" t="s">
        <v>134</v>
      </c>
    </row>
    <row r="20" customFormat="false" ht="15" hidden="false" customHeight="false" outlineLevel="0" collapsed="false">
      <c r="A20" s="2" t="s">
        <v>135</v>
      </c>
      <c r="B20" s="20" t="n">
        <v>1</v>
      </c>
      <c r="C20" s="20" t="n">
        <v>1200000</v>
      </c>
      <c r="D20" s="19" t="n">
        <f aca="false">B20*C20</f>
        <v>1200000</v>
      </c>
      <c r="E20" s="2"/>
    </row>
    <row r="21" customFormat="false" ht="15" hidden="false" customHeight="false" outlineLevel="0" collapsed="false">
      <c r="A21" s="2" t="s">
        <v>136</v>
      </c>
      <c r="B21" s="20" t="n">
        <v>2</v>
      </c>
      <c r="C21" s="20" t="n">
        <v>300000</v>
      </c>
      <c r="D21" s="19" t="n">
        <f aca="false">B21*C21</f>
        <v>600000</v>
      </c>
      <c r="E21" s="2" t="s">
        <v>137</v>
      </c>
    </row>
    <row r="22" customFormat="false" ht="15" hidden="false" customHeight="false" outlineLevel="0" collapsed="false">
      <c r="A22" s="2" t="s">
        <v>138</v>
      </c>
      <c r="B22" s="20" t="n">
        <v>1</v>
      </c>
      <c r="C22" s="20" t="n">
        <v>2500000</v>
      </c>
      <c r="D22" s="19" t="n">
        <f aca="false">B22*C22</f>
        <v>2500000</v>
      </c>
      <c r="E22" s="2" t="s">
        <v>139</v>
      </c>
    </row>
    <row r="23" customFormat="false" ht="15" hidden="false" customHeight="false" outlineLevel="0" collapsed="false">
      <c r="A23" s="2" t="s">
        <v>140</v>
      </c>
      <c r="B23" s="20" t="n">
        <v>1</v>
      </c>
      <c r="C23" s="20" t="n">
        <v>500000</v>
      </c>
      <c r="D23" s="19" t="n">
        <f aca="false">B23*C23</f>
        <v>500000</v>
      </c>
      <c r="E23" s="2" t="s">
        <v>141</v>
      </c>
    </row>
    <row r="24" customFormat="false" ht="15" hidden="false" customHeight="false" outlineLevel="0" collapsed="false">
      <c r="A24" s="2" t="s">
        <v>142</v>
      </c>
      <c r="B24" s="20" t="n">
        <v>1</v>
      </c>
      <c r="C24" s="20" t="n">
        <v>3000000</v>
      </c>
      <c r="D24" s="19" t="n">
        <f aca="false">B24*C24</f>
        <v>3000000</v>
      </c>
      <c r="E24" s="2"/>
    </row>
    <row r="25" customFormat="false" ht="15" hidden="false" customHeight="false" outlineLevel="0" collapsed="false">
      <c r="A25" s="2" t="s">
        <v>143</v>
      </c>
      <c r="B25" s="20" t="n">
        <v>1</v>
      </c>
      <c r="C25" s="20" t="n">
        <v>2000000</v>
      </c>
      <c r="D25" s="19" t="n">
        <f aca="false">B25*C25</f>
        <v>2000000</v>
      </c>
      <c r="E25" s="2" t="s">
        <v>144</v>
      </c>
    </row>
    <row r="26" customFormat="false" ht="15" hidden="false" customHeight="false" outlineLevel="0" collapsed="false">
      <c r="A26" s="2" t="s">
        <v>145</v>
      </c>
      <c r="B26" s="23" t="n">
        <v>0.1</v>
      </c>
      <c r="C26" s="19"/>
      <c r="D26" s="19" t="n">
        <f aca="false">B26*SUM(D18:D25)</f>
        <v>2403000</v>
      </c>
      <c r="E26" s="2"/>
    </row>
    <row r="27" customFormat="false" ht="15" hidden="false" customHeight="false" outlineLevel="0" collapsed="false">
      <c r="A27" s="4" t="s">
        <v>146</v>
      </c>
      <c r="B27" s="19"/>
      <c r="C27" s="19"/>
      <c r="D27" s="21" t="n">
        <f aca="false">SUM(D18:D26)</f>
        <v>26433000</v>
      </c>
      <c r="E27" s="2"/>
    </row>
    <row r="28" customFormat="false" ht="15" hidden="false" customHeight="false" outlineLevel="0" collapsed="false">
      <c r="A28" s="2"/>
      <c r="B28" s="19"/>
      <c r="C28" s="19"/>
      <c r="D28" s="19"/>
      <c r="E28" s="2"/>
    </row>
    <row r="29" customFormat="false" ht="15" hidden="false" customHeight="false" outlineLevel="0" collapsed="false">
      <c r="A29" s="2" t="s">
        <v>147</v>
      </c>
      <c r="B29" s="19"/>
      <c r="C29" s="19"/>
      <c r="D29" s="19"/>
      <c r="E29" s="2"/>
    </row>
    <row r="30" customFormat="false" ht="15" hidden="false" customHeight="false" outlineLevel="0" collapsed="false">
      <c r="A30" s="2" t="s">
        <v>148</v>
      </c>
      <c r="B30" s="2"/>
      <c r="C30" s="2"/>
      <c r="D30" s="2"/>
      <c r="E3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149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5" t="s">
        <v>150</v>
      </c>
      <c r="B3" s="5" t="s">
        <v>151</v>
      </c>
      <c r="C3" s="5" t="s">
        <v>19</v>
      </c>
      <c r="D3" s="5" t="s">
        <v>20</v>
      </c>
      <c r="E3" s="5" t="s">
        <v>152</v>
      </c>
    </row>
    <row r="4" customFormat="false" ht="15" hidden="false" customHeight="false" outlineLevel="0" collapsed="false">
      <c r="A4" s="2" t="s">
        <v>153</v>
      </c>
      <c r="B4" s="3" t="s">
        <v>154</v>
      </c>
      <c r="C4" s="24" t="n">
        <f aca="false">GiaDinh!$C$12</f>
        <v>9825283.33333333</v>
      </c>
      <c r="D4" s="2" t="s">
        <v>24</v>
      </c>
      <c r="E4" s="2" t="s">
        <v>155</v>
      </c>
    </row>
    <row r="5" customFormat="false" ht="15" hidden="false" customHeight="false" outlineLevel="0" collapsed="false">
      <c r="A5" s="2" t="s">
        <v>156</v>
      </c>
      <c r="B5" s="3" t="s">
        <v>157</v>
      </c>
      <c r="C5" s="25" t="n">
        <f aca="false">GiaDinh!$C$14*GiaDinh!$C$15*60</f>
        <v>10920</v>
      </c>
      <c r="D5" s="2" t="s">
        <v>52</v>
      </c>
      <c r="E5" s="2" t="s">
        <v>158</v>
      </c>
    </row>
    <row r="6" customFormat="false" ht="15" hidden="false" customHeight="false" outlineLevel="0" collapsed="false">
      <c r="A6" s="2" t="s">
        <v>159</v>
      </c>
      <c r="B6" s="3" t="s">
        <v>160</v>
      </c>
      <c r="C6" s="12" t="n">
        <f aca="false">$C$4/$C$5</f>
        <v>899.751221001221</v>
      </c>
      <c r="D6" s="2" t="s">
        <v>161</v>
      </c>
      <c r="E6" s="2" t="s">
        <v>162</v>
      </c>
    </row>
    <row r="7" customFormat="false" ht="15" hidden="false" customHeight="false" outlineLevel="0" collapsed="false">
      <c r="A7" s="2" t="s">
        <v>163</v>
      </c>
      <c r="B7" s="3" t="s">
        <v>164</v>
      </c>
      <c r="C7" s="12" t="n">
        <f aca="false">DauTu!$D$15/GiaDinh!$C$22+GiaDinh!$C$23</f>
        <v>634166.666666667</v>
      </c>
      <c r="D7" s="2" t="s">
        <v>24</v>
      </c>
      <c r="E7" s="2" t="s">
        <v>165</v>
      </c>
    </row>
    <row r="8" customFormat="false" ht="15" hidden="false" customHeight="false" outlineLevel="0" collapsed="false">
      <c r="A8" s="2" t="s">
        <v>166</v>
      </c>
      <c r="B8" s="3" t="s">
        <v>167</v>
      </c>
      <c r="C8" s="26" t="n">
        <f aca="false">$C$7/$C$5</f>
        <v>58.0738705738706</v>
      </c>
      <c r="D8" s="2" t="s">
        <v>161</v>
      </c>
      <c r="E8" s="2" t="s">
        <v>168</v>
      </c>
    </row>
    <row r="9" customFormat="false" ht="15" hidden="false" customHeight="false" outlineLevel="0" collapsed="false">
      <c r="A9" s="2" t="s">
        <v>169</v>
      </c>
      <c r="B9" s="3" t="s">
        <v>170</v>
      </c>
      <c r="C9" s="27" t="n">
        <f aca="false">GiaDinh!$C$16+GiaDinh!$C$17/GiaDinh!$C$18</f>
        <v>1.5</v>
      </c>
      <c r="D9" s="2" t="s">
        <v>49</v>
      </c>
      <c r="E9" s="2" t="s">
        <v>171</v>
      </c>
    </row>
    <row r="10" customFormat="false" ht="15" hidden="false" customHeight="false" outlineLevel="0" collapsed="false">
      <c r="A10" s="2" t="s">
        <v>172</v>
      </c>
      <c r="B10" s="3" t="s">
        <v>173</v>
      </c>
      <c r="C10" s="25" t="n">
        <f aca="false">$C$5*GiaDinh!$C$20/$C$9</f>
        <v>5824</v>
      </c>
      <c r="D10" s="2" t="s">
        <v>174</v>
      </c>
      <c r="E10" s="2" t="s">
        <v>175</v>
      </c>
    </row>
    <row r="11" customFormat="false" ht="15" hidden="false" customHeight="false" outlineLevel="0" collapsed="false">
      <c r="A11" s="2"/>
      <c r="B11" s="3" t="s">
        <v>176</v>
      </c>
      <c r="C11" s="25" t="n">
        <f aca="false">$C$10/GiaDinh!$C$14</f>
        <v>224</v>
      </c>
      <c r="D11" s="2" t="s">
        <v>177</v>
      </c>
      <c r="E11" s="2"/>
    </row>
    <row r="12" customFormat="false" ht="15" hidden="false" customHeight="false" outlineLevel="0" collapsed="false">
      <c r="A12" s="2"/>
      <c r="B12" s="3" t="s">
        <v>178</v>
      </c>
      <c r="C12" s="28" t="n">
        <f aca="false">$C$11/GiaDinh!$C$18</f>
        <v>11.2</v>
      </c>
      <c r="D12" s="2" t="s">
        <v>179</v>
      </c>
      <c r="E12" s="2"/>
    </row>
    <row r="13" customFormat="false" ht="15" hidden="false" customHeight="false" outlineLevel="0" collapsed="false">
      <c r="A13" s="2" t="s">
        <v>180</v>
      </c>
      <c r="B13" s="3" t="s">
        <v>181</v>
      </c>
      <c r="C13" s="25" t="n">
        <f aca="false">$C$10*GiaDinh!$C$29</f>
        <v>23296</v>
      </c>
      <c r="D13" s="2" t="s">
        <v>174</v>
      </c>
      <c r="E13" s="2" t="s">
        <v>182</v>
      </c>
    </row>
    <row r="14" customFormat="false" ht="15" hidden="false" customHeight="false" outlineLevel="0" collapsed="false">
      <c r="A14" s="2" t="s">
        <v>183</v>
      </c>
      <c r="B14" s="3" t="s">
        <v>184</v>
      </c>
      <c r="C14" s="12" t="n">
        <f aca="false">IF(GiaDinh!$C$29&gt;=GiaDinh!$C$26,GiaDinh!$C$28,GiaDinh!$C$27)</f>
        <v>7800000</v>
      </c>
      <c r="D14" s="2" t="s">
        <v>24</v>
      </c>
      <c r="E14" s="2" t="s">
        <v>185</v>
      </c>
    </row>
    <row r="15" customFormat="false" ht="15" hidden="false" customHeight="false" outlineLevel="0" collapsed="false">
      <c r="A15" s="2"/>
      <c r="B15" s="2"/>
      <c r="C15" s="2"/>
      <c r="D15" s="2"/>
      <c r="E15" s="2"/>
    </row>
    <row r="16" customFormat="false" ht="15" hidden="false" customHeight="false" outlineLevel="0" collapsed="false">
      <c r="A16" s="7"/>
      <c r="B16" s="6" t="s">
        <v>186</v>
      </c>
      <c r="C16" s="7"/>
      <c r="D16" s="7"/>
      <c r="E16" s="7"/>
    </row>
    <row r="17" customFormat="false" ht="15" hidden="false" customHeight="false" outlineLevel="0" collapsed="false">
      <c r="A17" s="2" t="s">
        <v>187</v>
      </c>
      <c r="B17" s="3" t="s">
        <v>188</v>
      </c>
      <c r="C17" s="12" t="n">
        <f aca="false">$C$6*$C$9/GiaDinh!$C$20</f>
        <v>1687.03353937729</v>
      </c>
      <c r="D17" s="2" t="s">
        <v>69</v>
      </c>
      <c r="E17" s="2" t="s">
        <v>189</v>
      </c>
    </row>
    <row r="18" customFormat="false" ht="15" hidden="false" customHeight="false" outlineLevel="0" collapsed="false">
      <c r="A18" s="2" t="s">
        <v>190</v>
      </c>
      <c r="B18" s="3" t="s">
        <v>191</v>
      </c>
      <c r="C18" s="12" t="n">
        <f aca="false">$C$8*$C$9/GiaDinh!$C$20</f>
        <v>108.888507326007</v>
      </c>
      <c r="D18" s="2" t="s">
        <v>69</v>
      </c>
      <c r="E18" s="2" t="s">
        <v>192</v>
      </c>
    </row>
    <row r="19" customFormat="false" ht="15" hidden="false" customHeight="false" outlineLevel="0" collapsed="false">
      <c r="A19" s="2" t="s">
        <v>193</v>
      </c>
      <c r="B19" s="3" t="s">
        <v>194</v>
      </c>
      <c r="C19" s="24" t="n">
        <f aca="false">GiaDinh!$C$24</f>
        <v>50</v>
      </c>
      <c r="D19" s="2" t="s">
        <v>69</v>
      </c>
      <c r="E19" s="2" t="s">
        <v>155</v>
      </c>
    </row>
    <row r="20" customFormat="false" ht="15" hidden="false" customHeight="false" outlineLevel="0" collapsed="false">
      <c r="A20" s="2" t="s">
        <v>195</v>
      </c>
      <c r="B20" s="3" t="s">
        <v>196</v>
      </c>
      <c r="C20" s="12" t="n">
        <f aca="false">$C$14/$C$13</f>
        <v>334.821428571429</v>
      </c>
      <c r="D20" s="2" t="s">
        <v>69</v>
      </c>
      <c r="E20" s="2" t="s">
        <v>197</v>
      </c>
    </row>
    <row r="21" customFormat="false" ht="15" hidden="false" customHeight="false" outlineLevel="0" collapsed="false">
      <c r="A21" s="2" t="s">
        <v>198</v>
      </c>
      <c r="B21" s="4" t="s">
        <v>199</v>
      </c>
      <c r="C21" s="29" t="n">
        <f aca="false">SUM($C$17:$C$20)</f>
        <v>2180.74347527473</v>
      </c>
      <c r="D21" s="2" t="s">
        <v>69</v>
      </c>
      <c r="E21" s="2" t="s">
        <v>200</v>
      </c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7"/>
      <c r="B23" s="6" t="s">
        <v>201</v>
      </c>
      <c r="C23" s="7"/>
      <c r="D23" s="7"/>
      <c r="E23" s="7"/>
    </row>
    <row r="24" customFormat="false" ht="15" hidden="false" customHeight="false" outlineLevel="0" collapsed="false">
      <c r="A24" s="2" t="s">
        <v>202</v>
      </c>
      <c r="B24" s="3" t="s">
        <v>203</v>
      </c>
      <c r="C24" s="12" t="n">
        <f aca="false">$C$21/(1-GiaDinh!$C$31-GiaDinh!$C$34)</f>
        <v>3115.34782182104</v>
      </c>
      <c r="D24" s="2" t="s">
        <v>69</v>
      </c>
      <c r="E24" s="2" t="s">
        <v>204</v>
      </c>
    </row>
    <row r="25" customFormat="false" ht="15" hidden="false" customHeight="false" outlineLevel="0" collapsed="false">
      <c r="A25" s="2" t="s">
        <v>205</v>
      </c>
      <c r="B25" s="4" t="s">
        <v>206</v>
      </c>
      <c r="C25" s="30" t="n">
        <f aca="false">ROUNDUP($C$24/100,0)*100</f>
        <v>3200</v>
      </c>
      <c r="D25" s="2" t="s">
        <v>207</v>
      </c>
      <c r="E25" s="2" t="s">
        <v>208</v>
      </c>
    </row>
    <row r="26" customFormat="false" ht="15" hidden="false" customHeight="false" outlineLevel="0" collapsed="false">
      <c r="A26" s="2" t="s">
        <v>209</v>
      </c>
      <c r="B26" s="3" t="s">
        <v>210</v>
      </c>
      <c r="C26" s="12" t="n">
        <f aca="false">$C$21/(1-GiaDinh!$C$31)</f>
        <v>2295.51944765761</v>
      </c>
      <c r="D26" s="2" t="s">
        <v>69</v>
      </c>
      <c r="E26" s="2" t="s">
        <v>211</v>
      </c>
    </row>
    <row r="27" customFormat="false" ht="15" hidden="false" customHeight="false" outlineLevel="0" collapsed="false">
      <c r="A27" s="2" t="s">
        <v>212</v>
      </c>
      <c r="B27" s="3" t="s">
        <v>213</v>
      </c>
      <c r="C27" s="12" t="n">
        <f aca="false">$C$25*(1-GiaDinh!$C$31)-$C$21</f>
        <v>859.256524725275</v>
      </c>
      <c r="D27" s="2" t="s">
        <v>69</v>
      </c>
      <c r="E27" s="2"/>
    </row>
    <row r="28" customFormat="false" ht="15" hidden="false" customHeight="false" outlineLevel="0" collapsed="false">
      <c r="A28" s="2" t="s">
        <v>214</v>
      </c>
      <c r="B28" s="4" t="s">
        <v>215</v>
      </c>
      <c r="C28" s="31" t="n">
        <f aca="false">$C$27*$C$13</f>
        <v>20017240</v>
      </c>
      <c r="D28" s="2" t="s">
        <v>24</v>
      </c>
      <c r="E28" s="2" t="s">
        <v>216</v>
      </c>
    </row>
    <row r="29" customFormat="false" ht="15" hidden="false" customHeight="false" outlineLevel="0" collapsed="false">
      <c r="A29" s="2" t="s">
        <v>217</v>
      </c>
      <c r="B29" s="3" t="s">
        <v>218</v>
      </c>
      <c r="C29" s="12" t="n">
        <f aca="false">$C$25*$C$13</f>
        <v>74547200</v>
      </c>
      <c r="D29" s="2" t="s">
        <v>24</v>
      </c>
      <c r="E29" s="2"/>
    </row>
    <row r="30" customFormat="false" ht="15" hidden="false" customHeight="false" outlineLevel="0" collapsed="false">
      <c r="A30" s="2" t="s">
        <v>219</v>
      </c>
      <c r="B30" s="3" t="s">
        <v>220</v>
      </c>
      <c r="C30" s="32" t="n">
        <f aca="false">$C$13/(GiaDinh!$C$18*GiaDinh!$C$19)</f>
        <v>38.8266666666667</v>
      </c>
      <c r="D30" s="2" t="s">
        <v>179</v>
      </c>
      <c r="E30" s="2"/>
    </row>
    <row r="31" customFormat="false" ht="15" hidden="false" customHeight="false" outlineLevel="0" collapsed="false">
      <c r="A31" s="2"/>
      <c r="B31" s="2"/>
      <c r="C31" s="2"/>
      <c r="D31" s="2"/>
      <c r="E31" s="2"/>
    </row>
    <row r="32" customFormat="false" ht="15" hidden="false" customHeight="false" outlineLevel="0" collapsed="false">
      <c r="A32" s="7"/>
      <c r="B32" s="6" t="s">
        <v>221</v>
      </c>
      <c r="C32" s="7"/>
      <c r="D32" s="7"/>
      <c r="E32" s="7"/>
    </row>
    <row r="33" customFormat="false" ht="15" hidden="false" customHeight="false" outlineLevel="0" collapsed="false">
      <c r="A33" s="2"/>
      <c r="B33" s="3" t="s">
        <v>222</v>
      </c>
      <c r="C33" s="12" t="n">
        <f aca="false">$C$25</f>
        <v>3200</v>
      </c>
      <c r="D33" s="2" t="s">
        <v>69</v>
      </c>
      <c r="E33" s="2"/>
    </row>
    <row r="34" customFormat="false" ht="15" hidden="false" customHeight="false" outlineLevel="0" collapsed="false">
      <c r="A34" s="2"/>
      <c r="B34" s="3" t="s">
        <v>94</v>
      </c>
      <c r="C34" s="12" t="n">
        <f aca="false">ROUNDUP($C$25*GiaDinh!$C$36/100,0)*100</f>
        <v>4000</v>
      </c>
      <c r="D34" s="2" t="s">
        <v>69</v>
      </c>
      <c r="E34" s="2" t="s">
        <v>223</v>
      </c>
    </row>
    <row r="35" customFormat="false" ht="15" hidden="false" customHeight="false" outlineLevel="0" collapsed="false">
      <c r="A35" s="2"/>
      <c r="B35" s="3" t="s">
        <v>97</v>
      </c>
      <c r="C35" s="12" t="n">
        <f aca="false">ROUNDUP($C$25*GiaDinh!$C$37/100,0)*100</f>
        <v>5800</v>
      </c>
      <c r="D35" s="2" t="s">
        <v>69</v>
      </c>
      <c r="E35" s="2" t="s">
        <v>223</v>
      </c>
    </row>
    <row r="36" customFormat="false" ht="15" hidden="false" customHeight="false" outlineLevel="0" collapsed="false">
      <c r="A36" s="2"/>
      <c r="B36" s="3" t="s">
        <v>224</v>
      </c>
      <c r="C36" s="12" t="n">
        <f aca="false">ROUNDUP($C$25*GiaDinh!$C$38/500,0)*500</f>
        <v>7500</v>
      </c>
      <c r="D36" s="2" t="s">
        <v>69</v>
      </c>
      <c r="E36" s="2" t="s">
        <v>225</v>
      </c>
    </row>
    <row r="37" customFormat="false" ht="15" hidden="false" customHeight="false" outlineLevel="0" collapsed="false">
      <c r="A37" s="2"/>
      <c r="B37" s="3" t="s">
        <v>226</v>
      </c>
      <c r="C37" s="27" t="n">
        <f aca="false">GiaDinh!$C$39</f>
        <v>1.5</v>
      </c>
      <c r="D37" s="2" t="s">
        <v>95</v>
      </c>
      <c r="E37" s="2"/>
    </row>
    <row r="38" customFormat="false" ht="15" hidden="false" customHeight="false" outlineLevel="0" collapsed="false">
      <c r="A38" s="2"/>
      <c r="B38" s="2"/>
      <c r="C38" s="2"/>
      <c r="D38" s="2"/>
      <c r="E38" s="2"/>
    </row>
    <row r="39" customFormat="false" ht="15" hidden="false" customHeight="false" outlineLevel="0" collapsed="false">
      <c r="A39" s="7"/>
      <c r="B39" s="6" t="s">
        <v>227</v>
      </c>
      <c r="C39" s="7"/>
      <c r="D39" s="7"/>
      <c r="E39" s="7"/>
    </row>
    <row r="40" customFormat="false" ht="15" hidden="false" customHeight="false" outlineLevel="0" collapsed="false">
      <c r="A40" s="2"/>
      <c r="B40" s="3" t="s">
        <v>228</v>
      </c>
      <c r="C40" s="33" t="n">
        <f aca="false">GiaDinh!$C$18</f>
        <v>20</v>
      </c>
      <c r="D40" s="2" t="s">
        <v>55</v>
      </c>
      <c r="E40" s="2"/>
    </row>
    <row r="41" customFormat="false" ht="15" hidden="false" customHeight="false" outlineLevel="0" collapsed="false">
      <c r="A41" s="2"/>
      <c r="B41" s="3" t="s">
        <v>229</v>
      </c>
      <c r="C41" s="12" t="n">
        <f aca="false">MAX($C$40,GiaDinh!$C$40)*$C$25</f>
        <v>64000</v>
      </c>
      <c r="D41" s="2" t="s">
        <v>230</v>
      </c>
      <c r="E41" s="2"/>
    </row>
    <row r="42" customFormat="false" ht="15" hidden="false" customHeight="false" outlineLevel="0" collapsed="false">
      <c r="A42" s="2"/>
      <c r="B42" s="4" t="s">
        <v>231</v>
      </c>
      <c r="C42" s="29" t="n">
        <f aca="false">$C$41*GiaDinh!$C$19</f>
        <v>1920000</v>
      </c>
      <c r="D42" s="2" t="s">
        <v>24</v>
      </c>
      <c r="E42" s="2"/>
    </row>
    <row r="43" customFormat="false" ht="15" hidden="false" customHeight="false" outlineLevel="0" collapsed="false">
      <c r="A43" s="2"/>
      <c r="B43" s="3" t="s">
        <v>232</v>
      </c>
      <c r="C43" s="12" t="n">
        <f aca="false">MAX($C$40,GiaDinh!$C$40)*$C$34*15</f>
        <v>1200000</v>
      </c>
      <c r="D43" s="2" t="s">
        <v>24</v>
      </c>
      <c r="E43" s="2"/>
    </row>
    <row r="44" customFormat="false" ht="15" hidden="false" customHeight="false" outlineLevel="0" collapsed="false">
      <c r="A44" s="2"/>
      <c r="B44" s="3" t="s">
        <v>233</v>
      </c>
      <c r="C44" s="12" t="n">
        <f aca="false">MAX($C$40,GiaDinh!$C$40)*$C$35*4</f>
        <v>464000</v>
      </c>
      <c r="D44" s="2" t="s">
        <v>24</v>
      </c>
      <c r="E44" s="2"/>
    </row>
    <row r="45" customFormat="false" ht="15" hidden="false" customHeight="false" outlineLevel="0" collapsed="false">
      <c r="A45" s="2"/>
      <c r="B45" s="3" t="s">
        <v>234</v>
      </c>
      <c r="C45" s="12" t="n">
        <f aca="false">GiaDinh!$C$40*$C$25*GiaDinh!$C$19</f>
        <v>960000</v>
      </c>
      <c r="D45" s="2" t="s">
        <v>24</v>
      </c>
      <c r="E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22"/>
  </cols>
  <sheetData>
    <row r="1" customFormat="false" ht="17.35" hidden="false" customHeight="false" outlineLevel="0" collapsed="false">
      <c r="A1" s="1" t="s">
        <v>235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4" t="s">
        <v>236</v>
      </c>
      <c r="B3" s="2"/>
      <c r="C3" s="2"/>
      <c r="D3" s="2"/>
      <c r="E3" s="2"/>
    </row>
    <row r="4" customFormat="false" ht="15" hidden="false" customHeight="false" outlineLevel="0" collapsed="false">
      <c r="A4" s="34" t="s">
        <v>237</v>
      </c>
      <c r="B4" s="35" t="n">
        <v>0.6</v>
      </c>
      <c r="C4" s="35" t="n">
        <v>0.7</v>
      </c>
      <c r="D4" s="35" t="n">
        <v>0.8</v>
      </c>
      <c r="E4" s="35" t="n">
        <v>0.9</v>
      </c>
    </row>
    <row r="5" customFormat="false" ht="15" hidden="false" customHeight="false" outlineLevel="0" collapsed="false">
      <c r="A5" s="36" t="n">
        <v>0.6</v>
      </c>
      <c r="B5" s="37" t="n">
        <f aca="false">ROUNDUP(((TinhGia!$C$6+TinhGia!$C$8)*($A5+GiaDinh!$C$17/GiaDinh!$C$18)/B$4+GiaDinh!$C$24+TinhGia!$C$14/((TinhGia!$C$5*B$4/($A5+GiaDinh!$C$17/GiaDinh!$C$18))*GiaDinh!$C$29))/(1-GiaDinh!$C$31-GiaDinh!$C$34)/100,0)*100</f>
        <v>3100</v>
      </c>
      <c r="C5" s="37" t="n">
        <f aca="false">ROUNDUP(((TinhGia!$C$6+TinhGia!$C$8)*($A5+GiaDinh!$C$17/GiaDinh!$C$18)/C$4+GiaDinh!$C$24+TinhGia!$C$14/((TinhGia!$C$5*C$4/($A5+GiaDinh!$C$17/GiaDinh!$C$18))*GiaDinh!$C$29))/(1-GiaDinh!$C$31-GiaDinh!$C$34)/100,0)*100</f>
        <v>2700</v>
      </c>
      <c r="D5" s="37" t="n">
        <f aca="false">ROUNDUP(((TinhGia!$C$6+TinhGia!$C$8)*($A5+GiaDinh!$C$17/GiaDinh!$C$18)/D$4+GiaDinh!$C$24+TinhGia!$C$14/((TinhGia!$C$5*D$4/($A5+GiaDinh!$C$17/GiaDinh!$C$18))*GiaDinh!$C$29))/(1-GiaDinh!$C$31-GiaDinh!$C$34)/100,0)*100</f>
        <v>2400</v>
      </c>
      <c r="E5" s="37" t="n">
        <f aca="false">ROUNDUP(((TinhGia!$C$6+TinhGia!$C$8)*($A5+GiaDinh!$C$17/GiaDinh!$C$18)/E$4+GiaDinh!$C$24+TinhGia!$C$14/((TinhGia!$C$5*E$4/($A5+GiaDinh!$C$17/GiaDinh!$C$18))*GiaDinh!$C$29))/(1-GiaDinh!$C$31-GiaDinh!$C$34)/100,0)*100</f>
        <v>2100</v>
      </c>
    </row>
    <row r="6" customFormat="false" ht="15" hidden="false" customHeight="false" outlineLevel="0" collapsed="false">
      <c r="A6" s="36" t="n">
        <v>0.8</v>
      </c>
      <c r="B6" s="37" t="n">
        <f aca="false">ROUNDUP(((TinhGia!$C$6+TinhGia!$C$8)*($A6+GiaDinh!$C$17/GiaDinh!$C$18)/B$4+GiaDinh!$C$24+TinhGia!$C$14/((TinhGia!$C$5*B$4/($A6+GiaDinh!$C$17/GiaDinh!$C$18))*GiaDinh!$C$29))/(1-GiaDinh!$C$31-GiaDinh!$C$34)/100,0)*100</f>
        <v>3600</v>
      </c>
      <c r="C6" s="37" t="n">
        <f aca="false">ROUNDUP(((TinhGia!$C$6+TinhGia!$C$8)*($A6+GiaDinh!$C$17/GiaDinh!$C$18)/C$4+GiaDinh!$C$24+TinhGia!$C$14/((TinhGia!$C$5*C$4/($A6+GiaDinh!$C$17/GiaDinh!$C$18))*GiaDinh!$C$29))/(1-GiaDinh!$C$31-GiaDinh!$C$34)/100,0)*100</f>
        <v>3100</v>
      </c>
      <c r="D6" s="37" t="n">
        <f aca="false">ROUNDUP(((TinhGia!$C$6+TinhGia!$C$8)*($A6+GiaDinh!$C$17/GiaDinh!$C$18)/D$4+GiaDinh!$C$24+TinhGia!$C$14/((TinhGia!$C$5*D$4/($A6+GiaDinh!$C$17/GiaDinh!$C$18))*GiaDinh!$C$29))/(1-GiaDinh!$C$31-GiaDinh!$C$34)/100,0)*100</f>
        <v>2800</v>
      </c>
      <c r="E6" s="37" t="n">
        <f aca="false">ROUNDUP(((TinhGia!$C$6+TinhGia!$C$8)*($A6+GiaDinh!$C$17/GiaDinh!$C$18)/E$4+GiaDinh!$C$24+TinhGia!$C$14/((TinhGia!$C$5*E$4/($A6+GiaDinh!$C$17/GiaDinh!$C$18))*GiaDinh!$C$29))/(1-GiaDinh!$C$31-GiaDinh!$C$34)/100,0)*100</f>
        <v>2500</v>
      </c>
    </row>
    <row r="7" customFormat="false" ht="15" hidden="false" customHeight="false" outlineLevel="0" collapsed="false">
      <c r="A7" s="36" t="n">
        <v>1</v>
      </c>
      <c r="B7" s="37" t="n">
        <f aca="false">ROUNDUP(((TinhGia!$C$6+TinhGia!$C$8)*($A7+GiaDinh!$C$17/GiaDinh!$C$18)/B$4+GiaDinh!$C$24+TinhGia!$C$14/((TinhGia!$C$5*B$4/($A7+GiaDinh!$C$17/GiaDinh!$C$18))*GiaDinh!$C$29))/(1-GiaDinh!$C$31-GiaDinh!$C$34)/100,0)*100</f>
        <v>4200</v>
      </c>
      <c r="C7" s="37" t="n">
        <f aca="false">ROUNDUP(((TinhGia!$C$6+TinhGia!$C$8)*($A7+GiaDinh!$C$17/GiaDinh!$C$18)/C$4+GiaDinh!$C$24+TinhGia!$C$14/((TinhGia!$C$5*C$4/($A7+GiaDinh!$C$17/GiaDinh!$C$18))*GiaDinh!$C$29))/(1-GiaDinh!$C$31-GiaDinh!$C$34)/100,0)*100</f>
        <v>3600</v>
      </c>
      <c r="D7" s="37" t="n">
        <f aca="false">ROUNDUP(((TinhGia!$C$6+TinhGia!$C$8)*($A7+GiaDinh!$C$17/GiaDinh!$C$18)/D$4+GiaDinh!$C$24+TinhGia!$C$14/((TinhGia!$C$5*D$4/($A7+GiaDinh!$C$17/GiaDinh!$C$18))*GiaDinh!$C$29))/(1-GiaDinh!$C$31-GiaDinh!$C$34)/100,0)*100</f>
        <v>3200</v>
      </c>
      <c r="E7" s="37" t="n">
        <f aca="false">ROUNDUP(((TinhGia!$C$6+TinhGia!$C$8)*($A7+GiaDinh!$C$17/GiaDinh!$C$18)/E$4+GiaDinh!$C$24+TinhGia!$C$14/((TinhGia!$C$5*E$4/($A7+GiaDinh!$C$17/GiaDinh!$C$18))*GiaDinh!$C$29))/(1-GiaDinh!$C$31-GiaDinh!$C$34)/100,0)*100</f>
        <v>2800</v>
      </c>
    </row>
    <row r="8" customFormat="false" ht="15" hidden="false" customHeight="false" outlineLevel="0" collapsed="false">
      <c r="A8" s="36" t="n">
        <v>1.2</v>
      </c>
      <c r="B8" s="37" t="n">
        <f aca="false">ROUNDUP(((TinhGia!$C$6+TinhGia!$C$8)*($A8+GiaDinh!$C$17/GiaDinh!$C$18)/B$4+GiaDinh!$C$24+TinhGia!$C$14/((TinhGia!$C$5*B$4/($A8+GiaDinh!$C$17/GiaDinh!$C$18))*GiaDinh!$C$29))/(1-GiaDinh!$C$31-GiaDinh!$C$34)/100,0)*100</f>
        <v>4700</v>
      </c>
      <c r="C8" s="37" t="n">
        <f aca="false">ROUNDUP(((TinhGia!$C$6+TinhGia!$C$8)*($A8+GiaDinh!$C$17/GiaDinh!$C$18)/C$4+GiaDinh!$C$24+TinhGia!$C$14/((TinhGia!$C$5*C$4/($A8+GiaDinh!$C$17/GiaDinh!$C$18))*GiaDinh!$C$29))/(1-GiaDinh!$C$31-GiaDinh!$C$34)/100,0)*100</f>
        <v>4100</v>
      </c>
      <c r="D8" s="37" t="n">
        <f aca="false">ROUNDUP(((TinhGia!$C$6+TinhGia!$C$8)*($A8+GiaDinh!$C$17/GiaDinh!$C$18)/D$4+GiaDinh!$C$24+TinhGia!$C$14/((TinhGia!$C$5*D$4/($A8+GiaDinh!$C$17/GiaDinh!$C$18))*GiaDinh!$C$29))/(1-GiaDinh!$C$31-GiaDinh!$C$34)/100,0)*100</f>
        <v>3600</v>
      </c>
      <c r="E8" s="37" t="n">
        <f aca="false">ROUNDUP(((TinhGia!$C$6+TinhGia!$C$8)*($A8+GiaDinh!$C$17/GiaDinh!$C$18)/E$4+GiaDinh!$C$24+TinhGia!$C$14/((TinhGia!$C$5*E$4/($A8+GiaDinh!$C$17/GiaDinh!$C$18))*GiaDinh!$C$29))/(1-GiaDinh!$C$31-GiaDinh!$C$34)/100,0)*100</f>
        <v>3200</v>
      </c>
    </row>
    <row r="9" customFormat="false" ht="15" hidden="false" customHeight="false" outlineLevel="0" collapsed="false">
      <c r="A9" s="36" t="n">
        <v>1.5</v>
      </c>
      <c r="B9" s="37" t="n">
        <f aca="false">ROUNDUP(((TinhGia!$C$6+TinhGia!$C$8)*($A9+GiaDinh!$C$17/GiaDinh!$C$18)/B$4+GiaDinh!$C$24+TinhGia!$C$14/((TinhGia!$C$5*B$4/($A9+GiaDinh!$C$17/GiaDinh!$C$18))*GiaDinh!$C$29))/(1-GiaDinh!$C$31-GiaDinh!$C$34)/100,0)*100</f>
        <v>5500</v>
      </c>
      <c r="C9" s="37" t="n">
        <f aca="false">ROUNDUP(((TinhGia!$C$6+TinhGia!$C$8)*($A9+GiaDinh!$C$17/GiaDinh!$C$18)/C$4+GiaDinh!$C$24+TinhGia!$C$14/((TinhGia!$C$5*C$4/($A9+GiaDinh!$C$17/GiaDinh!$C$18))*GiaDinh!$C$29))/(1-GiaDinh!$C$31-GiaDinh!$C$34)/100,0)*100</f>
        <v>4800</v>
      </c>
      <c r="D9" s="37" t="n">
        <f aca="false">ROUNDUP(((TinhGia!$C$6+TinhGia!$C$8)*($A9+GiaDinh!$C$17/GiaDinh!$C$18)/D$4+GiaDinh!$C$24+TinhGia!$C$14/((TinhGia!$C$5*D$4/($A9+GiaDinh!$C$17/GiaDinh!$C$18))*GiaDinh!$C$29))/(1-GiaDinh!$C$31-GiaDinh!$C$34)/100,0)*100</f>
        <v>4200</v>
      </c>
      <c r="E9" s="37" t="n">
        <f aca="false">ROUNDUP(((TinhGia!$C$6+TinhGia!$C$8)*($A9+GiaDinh!$C$17/GiaDinh!$C$18)/E$4+GiaDinh!$C$24+TinhGia!$C$14/((TinhGia!$C$5*E$4/($A9+GiaDinh!$C$17/GiaDinh!$C$18))*GiaDinh!$C$29))/(1-GiaDinh!$C$31-GiaDinh!$C$34)/100,0)*100</f>
        <v>3700</v>
      </c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4" t="s">
        <v>238</v>
      </c>
      <c r="B12" s="2"/>
      <c r="C12" s="2"/>
      <c r="D12" s="2"/>
      <c r="E12" s="2"/>
    </row>
    <row r="13" customFormat="false" ht="15" hidden="false" customHeight="false" outlineLevel="0" collapsed="false">
      <c r="A13" s="5" t="s">
        <v>239</v>
      </c>
      <c r="B13" s="5" t="s">
        <v>240</v>
      </c>
      <c r="C13" s="5" t="s">
        <v>241</v>
      </c>
      <c r="D13" s="5" t="s">
        <v>242</v>
      </c>
      <c r="E13" s="2"/>
    </row>
    <row r="14" customFormat="false" ht="15" hidden="false" customHeight="false" outlineLevel="0" collapsed="false">
      <c r="A14" s="38" t="n">
        <v>8</v>
      </c>
      <c r="B14" s="19" t="n">
        <f aca="false">ROUNDUP(((TinhGia!$C$6+TinhGia!$C$8)*(GiaDinh!$C$16+GiaDinh!$C$17/A14)/GiaDinh!$C$20+GiaDinh!$C$24+TinhGia!$C$14/((TinhGia!$C$5*GiaDinh!$C$20/(GiaDinh!$C$16+GiaDinh!$C$17/A14))*GiaDinh!$C$29))/(1-GiaDinh!$C$31-GiaDinh!$C$34)/100,0)*100</f>
        <v>4700</v>
      </c>
      <c r="C14" s="19" t="n">
        <f aca="false">B14*A14*GiaDinh!$C$19</f>
        <v>1128000</v>
      </c>
      <c r="D14" s="39" t="n">
        <f aca="false">(TinhGia!$C$5*GiaDinh!$C$20/(GiaDinh!$C$16+GiaDinh!$C$17/A14))/GiaDinh!$C$14/A14</f>
        <v>18.6666666666667</v>
      </c>
      <c r="E14" s="2"/>
    </row>
    <row r="15" customFormat="false" ht="15" hidden="false" customHeight="false" outlineLevel="0" collapsed="false">
      <c r="A15" s="38" t="n">
        <v>10</v>
      </c>
      <c r="B15" s="19" t="n">
        <f aca="false">ROUNDUP(((TinhGia!$C$6+TinhGia!$C$8)*(GiaDinh!$C$16+GiaDinh!$C$17/A15)/GiaDinh!$C$20+GiaDinh!$C$24+TinhGia!$C$14/((TinhGia!$C$5*GiaDinh!$C$20/(GiaDinh!$C$16+GiaDinh!$C$17/A15))*GiaDinh!$C$29))/(1-GiaDinh!$C$31-GiaDinh!$C$34)/100,0)*100</f>
        <v>4200</v>
      </c>
      <c r="C15" s="19" t="n">
        <f aca="false">B15*A15*GiaDinh!$C$19</f>
        <v>1260000</v>
      </c>
      <c r="D15" s="39" t="n">
        <f aca="false">(TinhGia!$C$5*GiaDinh!$C$20/(GiaDinh!$C$16+GiaDinh!$C$17/A15))/GiaDinh!$C$14/A15</f>
        <v>16.8</v>
      </c>
      <c r="E15" s="2"/>
    </row>
    <row r="16" customFormat="false" ht="15" hidden="false" customHeight="false" outlineLevel="0" collapsed="false">
      <c r="A16" s="38" t="n">
        <v>15</v>
      </c>
      <c r="B16" s="19" t="n">
        <f aca="false">ROUNDUP(((TinhGia!$C$6+TinhGia!$C$8)*(GiaDinh!$C$16+GiaDinh!$C$17/A16)/GiaDinh!$C$20+GiaDinh!$C$24+TinhGia!$C$14/((TinhGia!$C$5*GiaDinh!$C$20/(GiaDinh!$C$16+GiaDinh!$C$17/A16))*GiaDinh!$C$29))/(1-GiaDinh!$C$31-GiaDinh!$C$34)/100,0)*100</f>
        <v>3500</v>
      </c>
      <c r="C16" s="19" t="n">
        <f aca="false">B16*A16*GiaDinh!$C$19</f>
        <v>1575000</v>
      </c>
      <c r="D16" s="39" t="n">
        <f aca="false">(TinhGia!$C$5*GiaDinh!$C$20/(GiaDinh!$C$16+GiaDinh!$C$17/A16))/GiaDinh!$C$14/A16</f>
        <v>13.44</v>
      </c>
      <c r="E16" s="2"/>
    </row>
    <row r="17" customFormat="false" ht="15" hidden="false" customHeight="false" outlineLevel="0" collapsed="false">
      <c r="A17" s="38" t="n">
        <v>20</v>
      </c>
      <c r="B17" s="19" t="n">
        <f aca="false">ROUNDUP(((TinhGia!$C$6+TinhGia!$C$8)*(GiaDinh!$C$16+GiaDinh!$C$17/A17)/GiaDinh!$C$20+GiaDinh!$C$24+TinhGia!$C$14/((TinhGia!$C$5*GiaDinh!$C$20/(GiaDinh!$C$16+GiaDinh!$C$17/A17))*GiaDinh!$C$29))/(1-GiaDinh!$C$31-GiaDinh!$C$34)/100,0)*100</f>
        <v>3200</v>
      </c>
      <c r="C17" s="19" t="n">
        <f aca="false">B17*A17*GiaDinh!$C$19</f>
        <v>1920000</v>
      </c>
      <c r="D17" s="39" t="n">
        <f aca="false">(TinhGia!$C$5*GiaDinh!$C$20/(GiaDinh!$C$16+GiaDinh!$C$17/A17))/GiaDinh!$C$14/A17</f>
        <v>11.2</v>
      </c>
      <c r="E17" s="2"/>
    </row>
    <row r="18" customFormat="false" ht="15" hidden="false" customHeight="false" outlineLevel="0" collapsed="false">
      <c r="A18" s="38" t="n">
        <v>30</v>
      </c>
      <c r="B18" s="19" t="n">
        <f aca="false">ROUNDUP(((TinhGia!$C$6+TinhGia!$C$8)*(GiaDinh!$C$16+GiaDinh!$C$17/A18)/GiaDinh!$C$20+GiaDinh!$C$24+TinhGia!$C$14/((TinhGia!$C$5*GiaDinh!$C$20/(GiaDinh!$C$16+GiaDinh!$C$17/A18))*GiaDinh!$C$29))/(1-GiaDinh!$C$31-GiaDinh!$C$34)/100,0)*100</f>
        <v>2800</v>
      </c>
      <c r="C18" s="19" t="n">
        <f aca="false">B18*A18*GiaDinh!$C$19</f>
        <v>2520000</v>
      </c>
      <c r="D18" s="39" t="n">
        <f aca="false">(TinhGia!$C$5*GiaDinh!$C$20/(GiaDinh!$C$16+GiaDinh!$C$17/A18))/GiaDinh!$C$14/A18</f>
        <v>8.4</v>
      </c>
      <c r="E18" s="2"/>
    </row>
    <row r="19" customFormat="false" ht="15" hidden="false" customHeight="false" outlineLevel="0" collapsed="false">
      <c r="A19" s="38" t="n">
        <v>50</v>
      </c>
      <c r="B19" s="19" t="n">
        <f aca="false">ROUNDUP(((TinhGia!$C$6+TinhGia!$C$8)*(GiaDinh!$C$16+GiaDinh!$C$17/A19)/GiaDinh!$C$20+GiaDinh!$C$24+TinhGia!$C$14/((TinhGia!$C$5*GiaDinh!$C$20/(GiaDinh!$C$16+GiaDinh!$C$17/A19))*GiaDinh!$C$29))/(1-GiaDinh!$C$31-GiaDinh!$C$34)/100,0)*100</f>
        <v>2600</v>
      </c>
      <c r="C19" s="19" t="n">
        <f aca="false">B19*A19*GiaDinh!$C$19</f>
        <v>3900000</v>
      </c>
      <c r="D19" s="39" t="n">
        <f aca="false">(TinhGia!$C$5*GiaDinh!$C$20/(GiaDinh!$C$16+GiaDinh!$C$17/A19))/GiaDinh!$C$14/A19</f>
        <v>5.6</v>
      </c>
      <c r="E19" s="2"/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2" t="s">
        <v>243</v>
      </c>
      <c r="B21" s="2"/>
      <c r="C21" s="2"/>
      <c r="D21" s="2"/>
      <c r="E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14" min="2" style="0" width="13"/>
  </cols>
  <sheetData>
    <row r="1" customFormat="false" ht="17.35" hidden="false" customHeight="false" outlineLevel="0" collapsed="false">
      <c r="A1" s="1" t="s">
        <v>244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 t="s">
        <v>245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5" t="s">
        <v>151</v>
      </c>
      <c r="B4" s="5" t="s">
        <v>246</v>
      </c>
      <c r="C4" s="5" t="s">
        <v>247</v>
      </c>
      <c r="D4" s="5" t="s">
        <v>248</v>
      </c>
      <c r="E4" s="5" t="s">
        <v>249</v>
      </c>
      <c r="F4" s="5" t="s">
        <v>250</v>
      </c>
      <c r="G4" s="5" t="s">
        <v>251</v>
      </c>
      <c r="H4" s="5" t="s">
        <v>252</v>
      </c>
      <c r="I4" s="5" t="s">
        <v>253</v>
      </c>
      <c r="J4" s="5" t="s">
        <v>254</v>
      </c>
      <c r="K4" s="5" t="s">
        <v>255</v>
      </c>
      <c r="L4" s="5" t="s">
        <v>256</v>
      </c>
      <c r="M4" s="5" t="s">
        <v>257</v>
      </c>
      <c r="N4" s="5" t="s">
        <v>258</v>
      </c>
    </row>
    <row r="5" customFormat="false" ht="15" hidden="false" customHeight="false" outlineLevel="0" collapsed="false">
      <c r="A5" s="3" t="s">
        <v>259</v>
      </c>
      <c r="B5" s="40" t="n">
        <v>0</v>
      </c>
      <c r="C5" s="40" t="n">
        <v>6</v>
      </c>
      <c r="D5" s="40" t="n">
        <v>12</v>
      </c>
      <c r="E5" s="40" t="n">
        <v>18</v>
      </c>
      <c r="F5" s="40" t="n">
        <v>24</v>
      </c>
      <c r="G5" s="40" t="n">
        <v>30</v>
      </c>
      <c r="H5" s="40" t="n">
        <v>35</v>
      </c>
      <c r="I5" s="40" t="n">
        <v>40</v>
      </c>
      <c r="J5" s="40" t="n">
        <v>45</v>
      </c>
      <c r="K5" s="40" t="n">
        <v>50</v>
      </c>
      <c r="L5" s="40" t="n">
        <v>55</v>
      </c>
      <c r="M5" s="40" t="n">
        <v>60</v>
      </c>
      <c r="N5" s="40" t="n">
        <v>65</v>
      </c>
    </row>
    <row r="6" customFormat="false" ht="15" hidden="false" customHeight="false" outlineLevel="0" collapsed="false">
      <c r="A6" s="3" t="s">
        <v>260</v>
      </c>
      <c r="B6" s="41" t="n">
        <f aca="false">B5*GiaDinh!$C$18*GiaDinh!$C$19</f>
        <v>0</v>
      </c>
      <c r="C6" s="41" t="n">
        <f aca="false">C5*GiaDinh!$C$18*GiaDinh!$C$19</f>
        <v>3600</v>
      </c>
      <c r="D6" s="41" t="n">
        <f aca="false">D5*GiaDinh!$C$18*GiaDinh!$C$19</f>
        <v>7200</v>
      </c>
      <c r="E6" s="41" t="n">
        <f aca="false">E5*GiaDinh!$C$18*GiaDinh!$C$19</f>
        <v>10800</v>
      </c>
      <c r="F6" s="41" t="n">
        <f aca="false">F5*GiaDinh!$C$18*GiaDinh!$C$19</f>
        <v>14400</v>
      </c>
      <c r="G6" s="41" t="n">
        <f aca="false">G5*GiaDinh!$C$18*GiaDinh!$C$19</f>
        <v>18000</v>
      </c>
      <c r="H6" s="41" t="n">
        <f aca="false">H5*GiaDinh!$C$18*GiaDinh!$C$19</f>
        <v>21000</v>
      </c>
      <c r="I6" s="41" t="n">
        <f aca="false">I5*GiaDinh!$C$18*GiaDinh!$C$19</f>
        <v>24000</v>
      </c>
      <c r="J6" s="41" t="n">
        <f aca="false">J5*GiaDinh!$C$18*GiaDinh!$C$19</f>
        <v>27000</v>
      </c>
      <c r="K6" s="41" t="n">
        <f aca="false">K5*GiaDinh!$C$18*GiaDinh!$C$19</f>
        <v>30000</v>
      </c>
      <c r="L6" s="41" t="n">
        <f aca="false">L5*GiaDinh!$C$18*GiaDinh!$C$19</f>
        <v>33000</v>
      </c>
      <c r="M6" s="41" t="n">
        <f aca="false">M5*GiaDinh!$C$18*GiaDinh!$C$19</f>
        <v>36000</v>
      </c>
      <c r="N6" s="41" t="n">
        <f aca="false">N5*GiaDinh!$C$18*GiaDinh!$C$19</f>
        <v>39000</v>
      </c>
    </row>
    <row r="7" customFormat="false" ht="15" hidden="false" customHeight="false" outlineLevel="0" collapsed="false">
      <c r="A7" s="3" t="s">
        <v>261</v>
      </c>
      <c r="B7" s="41" t="n">
        <f aca="false">B5*GiaDinh!$C$19*(GiaDinh!$C$17+GiaDinh!$C$18*GiaDinh!$C$16)</f>
        <v>0</v>
      </c>
      <c r="C7" s="41" t="n">
        <f aca="false">C5*GiaDinh!$C$19*(GiaDinh!$C$17+GiaDinh!$C$18*GiaDinh!$C$16)</f>
        <v>5400</v>
      </c>
      <c r="D7" s="41" t="n">
        <f aca="false">D5*GiaDinh!$C$19*(GiaDinh!$C$17+GiaDinh!$C$18*GiaDinh!$C$16)</f>
        <v>10800</v>
      </c>
      <c r="E7" s="41" t="n">
        <f aca="false">E5*GiaDinh!$C$19*(GiaDinh!$C$17+GiaDinh!$C$18*GiaDinh!$C$16)</f>
        <v>16200</v>
      </c>
      <c r="F7" s="41" t="n">
        <f aca="false">F5*GiaDinh!$C$19*(GiaDinh!$C$17+GiaDinh!$C$18*GiaDinh!$C$16)</f>
        <v>21600</v>
      </c>
      <c r="G7" s="41" t="n">
        <f aca="false">G5*GiaDinh!$C$19*(GiaDinh!$C$17+GiaDinh!$C$18*GiaDinh!$C$16)</f>
        <v>27000</v>
      </c>
      <c r="H7" s="41" t="n">
        <f aca="false">H5*GiaDinh!$C$19*(GiaDinh!$C$17+GiaDinh!$C$18*GiaDinh!$C$16)</f>
        <v>31500</v>
      </c>
      <c r="I7" s="41" t="n">
        <f aca="false">I5*GiaDinh!$C$19*(GiaDinh!$C$17+GiaDinh!$C$18*GiaDinh!$C$16)</f>
        <v>36000</v>
      </c>
      <c r="J7" s="41" t="n">
        <f aca="false">J5*GiaDinh!$C$19*(GiaDinh!$C$17+GiaDinh!$C$18*GiaDinh!$C$16)</f>
        <v>40500</v>
      </c>
      <c r="K7" s="41" t="n">
        <f aca="false">K5*GiaDinh!$C$19*(GiaDinh!$C$17+GiaDinh!$C$18*GiaDinh!$C$16)</f>
        <v>45000</v>
      </c>
      <c r="L7" s="41" t="n">
        <f aca="false">L5*GiaDinh!$C$19*(GiaDinh!$C$17+GiaDinh!$C$18*GiaDinh!$C$16)</f>
        <v>49500</v>
      </c>
      <c r="M7" s="41" t="n">
        <f aca="false">M5*GiaDinh!$C$19*(GiaDinh!$C$17+GiaDinh!$C$18*GiaDinh!$C$16)</f>
        <v>54000</v>
      </c>
      <c r="N7" s="41" t="n">
        <f aca="false">N5*GiaDinh!$C$19*(GiaDinh!$C$17+GiaDinh!$C$18*GiaDinh!$C$16)</f>
        <v>58500</v>
      </c>
    </row>
    <row r="8" customFormat="false" ht="15" hidden="false" customHeight="false" outlineLevel="0" collapsed="false">
      <c r="A8" s="3" t="s">
        <v>262</v>
      </c>
      <c r="B8" s="42" t="n">
        <v>0</v>
      </c>
      <c r="C8" s="43" t="n">
        <f aca="false">MAX(2,ROUNDUP(C7/(TinhGia!$C$5*GiaDinh!$C$20),0))</f>
        <v>2</v>
      </c>
      <c r="D8" s="43" t="n">
        <f aca="false">MAX(2,ROUNDUP(D7/(TinhGia!$C$5*GiaDinh!$C$20),0))</f>
        <v>2</v>
      </c>
      <c r="E8" s="43" t="n">
        <f aca="false">MAX(2,ROUNDUP(E7/(TinhGia!$C$5*GiaDinh!$C$20),0))</f>
        <v>2</v>
      </c>
      <c r="F8" s="43" t="n">
        <f aca="false">MAX(2,ROUNDUP(F7/(TinhGia!$C$5*GiaDinh!$C$20),0))</f>
        <v>3</v>
      </c>
      <c r="G8" s="43" t="n">
        <f aca="false">MAX(2,ROUNDUP(G7/(TinhGia!$C$5*GiaDinh!$C$20),0))</f>
        <v>4</v>
      </c>
      <c r="H8" s="43" t="n">
        <f aca="false">MAX(2,ROUNDUP(H7/(TinhGia!$C$5*GiaDinh!$C$20),0))</f>
        <v>4</v>
      </c>
      <c r="I8" s="43" t="n">
        <f aca="false">MAX(2,ROUNDUP(I7/(TinhGia!$C$5*GiaDinh!$C$20),0))</f>
        <v>5</v>
      </c>
      <c r="J8" s="43" t="n">
        <f aca="false">MAX(2,ROUNDUP(J7/(TinhGia!$C$5*GiaDinh!$C$20),0))</f>
        <v>5</v>
      </c>
      <c r="K8" s="43" t="n">
        <f aca="false">MAX(2,ROUNDUP(K7/(TinhGia!$C$5*GiaDinh!$C$20),0))</f>
        <v>6</v>
      </c>
      <c r="L8" s="43" t="n">
        <f aca="false">MAX(2,ROUNDUP(L7/(TinhGia!$C$5*GiaDinh!$C$20),0))</f>
        <v>6</v>
      </c>
      <c r="M8" s="43" t="n">
        <f aca="false">MAX(2,ROUNDUP(M7/(TinhGia!$C$5*GiaDinh!$C$20),0))</f>
        <v>7</v>
      </c>
      <c r="N8" s="43" t="n">
        <f aca="false">MAX(2,ROUNDUP(N7/(TinhGia!$C$5*GiaDinh!$C$20),0))</f>
        <v>7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3" t="s">
        <v>263</v>
      </c>
      <c r="B10" s="44" t="n">
        <f aca="false">B6*TinhGia!$C$25</f>
        <v>0</v>
      </c>
      <c r="C10" s="44" t="n">
        <f aca="false">C6*TinhGia!$C$25</f>
        <v>11520000</v>
      </c>
      <c r="D10" s="44" t="n">
        <f aca="false">D6*TinhGia!$C$25</f>
        <v>23040000</v>
      </c>
      <c r="E10" s="44" t="n">
        <f aca="false">E6*TinhGia!$C$25</f>
        <v>34560000</v>
      </c>
      <c r="F10" s="44" t="n">
        <f aca="false">F6*TinhGia!$C$25</f>
        <v>46080000</v>
      </c>
      <c r="G10" s="44" t="n">
        <f aca="false">G6*TinhGia!$C$25</f>
        <v>57600000</v>
      </c>
      <c r="H10" s="44" t="n">
        <f aca="false">H6*TinhGia!$C$25</f>
        <v>67200000</v>
      </c>
      <c r="I10" s="44" t="n">
        <f aca="false">I6*TinhGia!$C$25</f>
        <v>76800000</v>
      </c>
      <c r="J10" s="44" t="n">
        <f aca="false">J6*TinhGia!$C$25</f>
        <v>86400000</v>
      </c>
      <c r="K10" s="44" t="n">
        <f aca="false">K6*TinhGia!$C$25</f>
        <v>96000000</v>
      </c>
      <c r="L10" s="44" t="n">
        <f aca="false">L6*TinhGia!$C$25</f>
        <v>105600000</v>
      </c>
      <c r="M10" s="44" t="n">
        <f aca="false">M6*TinhGia!$C$25</f>
        <v>115200000</v>
      </c>
      <c r="N10" s="44" t="n">
        <f aca="false">N6*TinhGia!$C$25</f>
        <v>124800000</v>
      </c>
    </row>
    <row r="11" customFormat="false" ht="15" hidden="false" customHeight="false" outlineLevel="0" collapsed="false">
      <c r="A11" s="3" t="s">
        <v>264</v>
      </c>
      <c r="B11" s="20" t="n">
        <v>0</v>
      </c>
      <c r="C11" s="20" t="n">
        <v>0</v>
      </c>
      <c r="D11" s="20" t="n">
        <v>1000000</v>
      </c>
      <c r="E11" s="20" t="n">
        <v>2000000</v>
      </c>
      <c r="F11" s="20" t="n">
        <v>3000000</v>
      </c>
      <c r="G11" s="20" t="n">
        <v>3000000</v>
      </c>
      <c r="H11" s="20" t="n">
        <v>4000000</v>
      </c>
      <c r="I11" s="20" t="n">
        <v>4000000</v>
      </c>
      <c r="J11" s="20" t="n">
        <v>5000000</v>
      </c>
      <c r="K11" s="20" t="n">
        <v>5000000</v>
      </c>
      <c r="L11" s="20" t="n">
        <v>6000000</v>
      </c>
      <c r="M11" s="20" t="n">
        <v>6000000</v>
      </c>
      <c r="N11" s="20" t="n">
        <v>6000000</v>
      </c>
    </row>
    <row r="12" customFormat="false" ht="15" hidden="false" customHeight="false" outlineLevel="0" collapsed="false">
      <c r="A12" s="4" t="s">
        <v>265</v>
      </c>
      <c r="B12" s="45" t="n">
        <f aca="false">B10+B11</f>
        <v>0</v>
      </c>
      <c r="C12" s="45" t="n">
        <f aca="false">C10+C11</f>
        <v>11520000</v>
      </c>
      <c r="D12" s="45" t="n">
        <f aca="false">D10+D11</f>
        <v>24040000</v>
      </c>
      <c r="E12" s="45" t="n">
        <f aca="false">E10+E11</f>
        <v>36560000</v>
      </c>
      <c r="F12" s="45" t="n">
        <f aca="false">F10+F11</f>
        <v>49080000</v>
      </c>
      <c r="G12" s="45" t="n">
        <f aca="false">G10+G11</f>
        <v>60600000</v>
      </c>
      <c r="H12" s="45" t="n">
        <f aca="false">H10+H11</f>
        <v>71200000</v>
      </c>
      <c r="I12" s="45" t="n">
        <f aca="false">I10+I11</f>
        <v>80800000</v>
      </c>
      <c r="J12" s="45" t="n">
        <f aca="false">J10+J11</f>
        <v>91400000</v>
      </c>
      <c r="K12" s="45" t="n">
        <f aca="false">K10+K11</f>
        <v>101000000</v>
      </c>
      <c r="L12" s="45" t="n">
        <f aca="false">L10+L11</f>
        <v>111600000</v>
      </c>
      <c r="M12" s="45" t="n">
        <f aca="false">M10+M11</f>
        <v>121200000</v>
      </c>
      <c r="N12" s="45" t="n">
        <f aca="false">N10+N11</f>
        <v>130800000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3" t="s">
        <v>266</v>
      </c>
      <c r="B14" s="44" t="n">
        <f aca="false">B8*GiaDinh!$C$12</f>
        <v>0</v>
      </c>
      <c r="C14" s="44" t="n">
        <f aca="false">C8*GiaDinh!$C$12</f>
        <v>19650566.6666667</v>
      </c>
      <c r="D14" s="44" t="n">
        <f aca="false">D8*GiaDinh!$C$12</f>
        <v>19650566.6666667</v>
      </c>
      <c r="E14" s="44" t="n">
        <f aca="false">E8*GiaDinh!$C$12</f>
        <v>19650566.6666667</v>
      </c>
      <c r="F14" s="44" t="n">
        <f aca="false">F8*GiaDinh!$C$12</f>
        <v>29475850</v>
      </c>
      <c r="G14" s="44" t="n">
        <f aca="false">G8*GiaDinh!$C$12</f>
        <v>39301133.3333333</v>
      </c>
      <c r="H14" s="44" t="n">
        <f aca="false">H8*GiaDinh!$C$12</f>
        <v>39301133.3333333</v>
      </c>
      <c r="I14" s="44" t="n">
        <f aca="false">I8*GiaDinh!$C$12</f>
        <v>49126416.6666667</v>
      </c>
      <c r="J14" s="44" t="n">
        <f aca="false">J8*GiaDinh!$C$12</f>
        <v>49126416.6666667</v>
      </c>
      <c r="K14" s="44" t="n">
        <f aca="false">K8*GiaDinh!$C$12</f>
        <v>58951700</v>
      </c>
      <c r="L14" s="44" t="n">
        <f aca="false">L8*GiaDinh!$C$12</f>
        <v>58951700</v>
      </c>
      <c r="M14" s="44" t="n">
        <f aca="false">M8*GiaDinh!$C$12</f>
        <v>68776983.3333333</v>
      </c>
      <c r="N14" s="44" t="n">
        <f aca="false">N8*GiaDinh!$C$12</f>
        <v>68776983.3333333</v>
      </c>
    </row>
    <row r="15" customFormat="false" ht="15" hidden="false" customHeight="false" outlineLevel="0" collapsed="false">
      <c r="A15" s="3" t="s">
        <v>267</v>
      </c>
      <c r="B15" s="44" t="n">
        <f aca="false">B8*GiaDinh!$C$23</f>
        <v>0</v>
      </c>
      <c r="C15" s="44" t="n">
        <f aca="false">C8*GiaDinh!$C$23</f>
        <v>600000</v>
      </c>
      <c r="D15" s="44" t="n">
        <f aca="false">D8*GiaDinh!$C$23</f>
        <v>600000</v>
      </c>
      <c r="E15" s="44" t="n">
        <f aca="false">E8*GiaDinh!$C$23</f>
        <v>600000</v>
      </c>
      <c r="F15" s="44" t="n">
        <f aca="false">F8*GiaDinh!$C$23</f>
        <v>900000</v>
      </c>
      <c r="G15" s="44" t="n">
        <f aca="false">G8*GiaDinh!$C$23</f>
        <v>1200000</v>
      </c>
      <c r="H15" s="44" t="n">
        <f aca="false">H8*GiaDinh!$C$23</f>
        <v>1200000</v>
      </c>
      <c r="I15" s="44" t="n">
        <f aca="false">I8*GiaDinh!$C$23</f>
        <v>1500000</v>
      </c>
      <c r="J15" s="44" t="n">
        <f aca="false">J8*GiaDinh!$C$23</f>
        <v>1500000</v>
      </c>
      <c r="K15" s="44" t="n">
        <f aca="false">K8*GiaDinh!$C$23</f>
        <v>1800000</v>
      </c>
      <c r="L15" s="44" t="n">
        <f aca="false">L8*GiaDinh!$C$23</f>
        <v>1800000</v>
      </c>
      <c r="M15" s="44" t="n">
        <f aca="false">M8*GiaDinh!$C$23</f>
        <v>2100000</v>
      </c>
      <c r="N15" s="44" t="n">
        <f aca="false">N8*GiaDinh!$C$23</f>
        <v>2100000</v>
      </c>
    </row>
    <row r="16" customFormat="false" ht="15" hidden="false" customHeight="false" outlineLevel="0" collapsed="false">
      <c r="A16" s="3" t="s">
        <v>194</v>
      </c>
      <c r="B16" s="44" t="n">
        <f aca="false">B6*GiaDinh!$C$24</f>
        <v>0</v>
      </c>
      <c r="C16" s="44" t="n">
        <f aca="false">C6*GiaDinh!$C$24</f>
        <v>180000</v>
      </c>
      <c r="D16" s="44" t="n">
        <f aca="false">D6*GiaDinh!$C$24</f>
        <v>360000</v>
      </c>
      <c r="E16" s="44" t="n">
        <f aca="false">E6*GiaDinh!$C$24</f>
        <v>540000</v>
      </c>
      <c r="F16" s="44" t="n">
        <f aca="false">F6*GiaDinh!$C$24</f>
        <v>720000</v>
      </c>
      <c r="G16" s="44" t="n">
        <f aca="false">G6*GiaDinh!$C$24</f>
        <v>900000</v>
      </c>
      <c r="H16" s="44" t="n">
        <f aca="false">H6*GiaDinh!$C$24</f>
        <v>1050000</v>
      </c>
      <c r="I16" s="44" t="n">
        <f aca="false">I6*GiaDinh!$C$24</f>
        <v>1200000</v>
      </c>
      <c r="J16" s="44" t="n">
        <f aca="false">J6*GiaDinh!$C$24</f>
        <v>1350000</v>
      </c>
      <c r="K16" s="44" t="n">
        <f aca="false">K6*GiaDinh!$C$24</f>
        <v>1500000</v>
      </c>
      <c r="L16" s="44" t="n">
        <f aca="false">L6*GiaDinh!$C$24</f>
        <v>1650000</v>
      </c>
      <c r="M16" s="44" t="n">
        <f aca="false">M6*GiaDinh!$C$24</f>
        <v>1800000</v>
      </c>
      <c r="N16" s="44" t="n">
        <f aca="false">N6*GiaDinh!$C$24</f>
        <v>1950000</v>
      </c>
    </row>
    <row r="17" customFormat="false" ht="15" hidden="false" customHeight="false" outlineLevel="0" collapsed="false">
      <c r="A17" s="3" t="s">
        <v>196</v>
      </c>
      <c r="B17" s="44" t="n">
        <v>0</v>
      </c>
      <c r="C17" s="44" t="n">
        <f aca="false">IF(C8&gt;=GiaDinh!$C$26,GiaDinh!$C$28,GiaDinh!$C$27)</f>
        <v>7800000</v>
      </c>
      <c r="D17" s="44" t="n">
        <f aca="false">IF(D8&gt;=GiaDinh!$C$26,GiaDinh!$C$28,GiaDinh!$C$27)</f>
        <v>7800000</v>
      </c>
      <c r="E17" s="44" t="n">
        <f aca="false">IF(E8&gt;=GiaDinh!$C$26,GiaDinh!$C$28,GiaDinh!$C$27)</f>
        <v>7800000</v>
      </c>
      <c r="F17" s="44" t="n">
        <f aca="false">IF(F8&gt;=GiaDinh!$C$26,GiaDinh!$C$28,GiaDinh!$C$27)</f>
        <v>7800000</v>
      </c>
      <c r="G17" s="44" t="n">
        <f aca="false">IF(G8&gt;=GiaDinh!$C$26,GiaDinh!$C$28,GiaDinh!$C$27)</f>
        <v>7800000</v>
      </c>
      <c r="H17" s="44" t="n">
        <f aca="false">IF(H8&gt;=GiaDinh!$C$26,GiaDinh!$C$28,GiaDinh!$C$27)</f>
        <v>7800000</v>
      </c>
      <c r="I17" s="44" t="n">
        <f aca="false">IF(I8&gt;=GiaDinh!$C$26,GiaDinh!$C$28,GiaDinh!$C$27)</f>
        <v>7800000</v>
      </c>
      <c r="J17" s="44" t="n">
        <f aca="false">IF(J8&gt;=GiaDinh!$C$26,GiaDinh!$C$28,GiaDinh!$C$27)</f>
        <v>7800000</v>
      </c>
      <c r="K17" s="44" t="n">
        <f aca="false">IF(K8&gt;=GiaDinh!$C$26,GiaDinh!$C$28,GiaDinh!$C$27)</f>
        <v>20000000</v>
      </c>
      <c r="L17" s="44" t="n">
        <f aca="false">IF(L8&gt;=GiaDinh!$C$26,GiaDinh!$C$28,GiaDinh!$C$27)</f>
        <v>20000000</v>
      </c>
      <c r="M17" s="44" t="n">
        <f aca="false">IF(M8&gt;=GiaDinh!$C$26,GiaDinh!$C$28,GiaDinh!$C$27)</f>
        <v>20000000</v>
      </c>
      <c r="N17" s="44" t="n">
        <f aca="false">IF(N8&gt;=GiaDinh!$C$26,GiaDinh!$C$28,GiaDinh!$C$27)</f>
        <v>20000000</v>
      </c>
    </row>
    <row r="18" customFormat="false" ht="15" hidden="false" customHeight="false" outlineLevel="0" collapsed="false">
      <c r="A18" s="3" t="s">
        <v>268</v>
      </c>
      <c r="B18" s="44" t="n">
        <f aca="false">MAX(0,B12-GiaDinh!$C$33/12)*GiaDinh!$C$32</f>
        <v>0</v>
      </c>
      <c r="C18" s="44" t="n">
        <f aca="false">MAX(0,C12-GiaDinh!$C$33/12)*GiaDinh!$C$32</f>
        <v>0</v>
      </c>
      <c r="D18" s="44" t="n">
        <f aca="false">MAX(0,D12-GiaDinh!$C$33/12)*GiaDinh!$C$32</f>
        <v>0</v>
      </c>
      <c r="E18" s="44" t="n">
        <f aca="false">MAX(0,E12-GiaDinh!$C$33/12)*GiaDinh!$C$32</f>
        <v>0</v>
      </c>
      <c r="F18" s="44" t="n">
        <f aca="false">MAX(0,F12-GiaDinh!$C$33/12)*GiaDinh!$C$32</f>
        <v>518933.333333334</v>
      </c>
      <c r="G18" s="44" t="n">
        <f aca="false">MAX(0,G12-GiaDinh!$C$33/12)*GiaDinh!$C$32</f>
        <v>1325333.33333333</v>
      </c>
      <c r="H18" s="44" t="n">
        <f aca="false">MAX(0,H12-GiaDinh!$C$33/12)*GiaDinh!$C$32</f>
        <v>2067333.33333333</v>
      </c>
      <c r="I18" s="44" t="n">
        <f aca="false">MAX(0,I12-GiaDinh!$C$33/12)*GiaDinh!$C$32</f>
        <v>2739333.33333333</v>
      </c>
      <c r="J18" s="44" t="n">
        <f aca="false">MAX(0,J12-GiaDinh!$C$33/12)*GiaDinh!$C$32</f>
        <v>3481333.33333333</v>
      </c>
      <c r="K18" s="44" t="n">
        <f aca="false">MAX(0,K12-GiaDinh!$C$33/12)*GiaDinh!$C$32</f>
        <v>4153333.33333333</v>
      </c>
      <c r="L18" s="44" t="n">
        <f aca="false">MAX(0,L12-GiaDinh!$C$33/12)*GiaDinh!$C$32</f>
        <v>4895333.33333334</v>
      </c>
      <c r="M18" s="44" t="n">
        <f aca="false">MAX(0,M12-GiaDinh!$C$33/12)*GiaDinh!$C$32</f>
        <v>5567333.33333334</v>
      </c>
      <c r="N18" s="44" t="n">
        <f aca="false">MAX(0,N12-GiaDinh!$C$33/12)*GiaDinh!$C$32</f>
        <v>6239333.33333334</v>
      </c>
    </row>
    <row r="19" customFormat="false" ht="15" hidden="false" customHeight="false" outlineLevel="0" collapsed="false">
      <c r="A19" s="4" t="s">
        <v>269</v>
      </c>
      <c r="B19" s="45" t="n">
        <f aca="false">SUM(B14:B18)</f>
        <v>0</v>
      </c>
      <c r="C19" s="45" t="n">
        <f aca="false">SUM(C14:C18)</f>
        <v>28230566.6666667</v>
      </c>
      <c r="D19" s="45" t="n">
        <f aca="false">SUM(D14:D18)</f>
        <v>28410566.6666667</v>
      </c>
      <c r="E19" s="45" t="n">
        <f aca="false">SUM(E14:E18)</f>
        <v>28590566.6666667</v>
      </c>
      <c r="F19" s="45" t="n">
        <f aca="false">SUM(F14:F18)</f>
        <v>39414783.3333333</v>
      </c>
      <c r="G19" s="45" t="n">
        <f aca="false">SUM(G14:G18)</f>
        <v>50526466.6666667</v>
      </c>
      <c r="H19" s="45" t="n">
        <f aca="false">SUM(H14:H18)</f>
        <v>51418466.6666667</v>
      </c>
      <c r="I19" s="45" t="n">
        <f aca="false">SUM(I14:I18)</f>
        <v>62365750</v>
      </c>
      <c r="J19" s="45" t="n">
        <f aca="false">SUM(J14:J18)</f>
        <v>63257750</v>
      </c>
      <c r="K19" s="45" t="n">
        <f aca="false">SUM(K14:K18)</f>
        <v>86405033.3333333</v>
      </c>
      <c r="L19" s="45" t="n">
        <f aca="false">SUM(L14:L18)</f>
        <v>87297033.3333333</v>
      </c>
      <c r="M19" s="45" t="n">
        <f aca="false">SUM(M14:M18)</f>
        <v>98244316.6666667</v>
      </c>
      <c r="N19" s="45" t="n">
        <f aca="false">SUM(N14:N18)</f>
        <v>99066316.6666667</v>
      </c>
    </row>
    <row r="20" customFormat="false" ht="15" hidden="false" customHeight="false" outlineLevel="0" collapsed="false">
      <c r="A20" s="4" t="s">
        <v>270</v>
      </c>
      <c r="B20" s="21" t="n">
        <f aca="false">B12-B19</f>
        <v>0</v>
      </c>
      <c r="C20" s="21" t="n">
        <f aca="false">C12-C19</f>
        <v>-16710566.6666667</v>
      </c>
      <c r="D20" s="21" t="n">
        <f aca="false">D12-D19</f>
        <v>-4370566.66666667</v>
      </c>
      <c r="E20" s="21" t="n">
        <f aca="false">E12-E19</f>
        <v>7969433.33333333</v>
      </c>
      <c r="F20" s="21" t="n">
        <f aca="false">F12-F19</f>
        <v>9665216.66666666</v>
      </c>
      <c r="G20" s="21" t="n">
        <f aca="false">G12-G19</f>
        <v>10073533.3333333</v>
      </c>
      <c r="H20" s="21" t="n">
        <f aca="false">H12-H19</f>
        <v>19781533.3333333</v>
      </c>
      <c r="I20" s="21" t="n">
        <f aca="false">I12-I19</f>
        <v>18434250</v>
      </c>
      <c r="J20" s="21" t="n">
        <f aca="false">J12-J19</f>
        <v>28142250</v>
      </c>
      <c r="K20" s="21" t="n">
        <f aca="false">K12-K19</f>
        <v>14594966.6666667</v>
      </c>
      <c r="L20" s="21" t="n">
        <f aca="false">L12-L19</f>
        <v>24302966.6666667</v>
      </c>
      <c r="M20" s="21" t="n">
        <f aca="false">M12-M19</f>
        <v>22955683.3333333</v>
      </c>
      <c r="N20" s="21" t="n">
        <f aca="false">N12-N19</f>
        <v>31733683.3333333</v>
      </c>
    </row>
    <row r="21" customFormat="false" ht="15" hidden="false" customHeight="false" outlineLevel="0" collapsed="false">
      <c r="A21" s="3" t="s">
        <v>271</v>
      </c>
      <c r="B21" s="46" t="n">
        <f aca="false">IF(B12=0,0,B20/B12)</f>
        <v>0</v>
      </c>
      <c r="C21" s="46" t="n">
        <f aca="false">IF(C12=0,0,C20/C12)</f>
        <v>-1.45057002314815</v>
      </c>
      <c r="D21" s="46" t="n">
        <f aca="false">IF(D12=0,0,D20/D12)</f>
        <v>-0.181803937881309</v>
      </c>
      <c r="E21" s="46" t="n">
        <f aca="false">IF(E12=0,0,E20/E12)</f>
        <v>0.21798231218089</v>
      </c>
      <c r="F21" s="46" t="n">
        <f aca="false">IF(F12=0,0,F20/F12)</f>
        <v>0.196927804944309</v>
      </c>
      <c r="G21" s="46" t="n">
        <f aca="false">IF(G12=0,0,G20/G12)</f>
        <v>0.166229922992299</v>
      </c>
      <c r="H21" s="46" t="n">
        <f aca="false">IF(H12=0,0,H20/H12)</f>
        <v>0.277830524344569</v>
      </c>
      <c r="I21" s="46" t="n">
        <f aca="false">IF(I12=0,0,I20/I12)</f>
        <v>0.228146658415842</v>
      </c>
      <c r="J21" s="46" t="n">
        <f aca="false">IF(J12=0,0,J20/J12)</f>
        <v>0.307902078774617</v>
      </c>
      <c r="K21" s="46" t="n">
        <f aca="false">IF(K12=0,0,K20/K12)</f>
        <v>0.144504620462046</v>
      </c>
      <c r="L21" s="46" t="n">
        <f aca="false">IF(L12=0,0,L20/L12)</f>
        <v>0.217768518518519</v>
      </c>
      <c r="M21" s="46" t="n">
        <f aca="false">IF(M12=0,0,M20/M12)</f>
        <v>0.189403327832783</v>
      </c>
      <c r="N21" s="46" t="n">
        <f aca="false">IF(N12=0,0,N20/N12)</f>
        <v>0.242612257900102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3" t="s">
        <v>272</v>
      </c>
      <c r="B23" s="47" t="n">
        <f aca="false">DauTu!$D$27</f>
        <v>26433000</v>
      </c>
      <c r="C23" s="44" t="n">
        <f aca="false">MAX(0,C8-DauTu!$B$18)*DauTu!$D$15</f>
        <v>0</v>
      </c>
      <c r="D23" s="44" t="n">
        <f aca="false">MAX(0,D8-C8)*DauTu!$D$15</f>
        <v>0</v>
      </c>
      <c r="E23" s="44" t="n">
        <f aca="false">MAX(0,E8-D8)*DauTu!$D$15</f>
        <v>0</v>
      </c>
      <c r="F23" s="44" t="n">
        <f aca="false">MAX(0,F8-E8)*DauTu!$D$15</f>
        <v>4010000</v>
      </c>
      <c r="G23" s="44" t="n">
        <f aca="false">MAX(0,G8-F8)*DauTu!$D$15</f>
        <v>4010000</v>
      </c>
      <c r="H23" s="44" t="n">
        <f aca="false">MAX(0,H8-G8)*DauTu!$D$15</f>
        <v>0</v>
      </c>
      <c r="I23" s="44" t="n">
        <f aca="false">MAX(0,I8-H8)*DauTu!$D$15</f>
        <v>4010000</v>
      </c>
      <c r="J23" s="44" t="n">
        <f aca="false">MAX(0,J8-I8)*DauTu!$D$15</f>
        <v>0</v>
      </c>
      <c r="K23" s="44" t="n">
        <f aca="false">MAX(0,K8-J8)*DauTu!$D$15</f>
        <v>4010000</v>
      </c>
      <c r="L23" s="44" t="n">
        <f aca="false">MAX(0,L8-K8)*DauTu!$D$15</f>
        <v>0</v>
      </c>
      <c r="M23" s="44" t="n">
        <f aca="false">MAX(0,M8-L8)*DauTu!$D$15</f>
        <v>4010000</v>
      </c>
      <c r="N23" s="44" t="n">
        <f aca="false">MAX(0,N8-M8)*DauTu!$D$15</f>
        <v>0</v>
      </c>
    </row>
    <row r="24" customFormat="false" ht="15" hidden="false" customHeight="false" outlineLevel="0" collapsed="false">
      <c r="A24" s="4" t="s">
        <v>273</v>
      </c>
      <c r="B24" s="45" t="n">
        <f aca="false">B20-B23</f>
        <v>-26433000</v>
      </c>
      <c r="C24" s="45" t="n">
        <f aca="false">C20-C23</f>
        <v>-16710566.6666667</v>
      </c>
      <c r="D24" s="45" t="n">
        <f aca="false">D20-D23</f>
        <v>-4370566.66666667</v>
      </c>
      <c r="E24" s="45" t="n">
        <f aca="false">E20-E23</f>
        <v>7969433.33333333</v>
      </c>
      <c r="F24" s="45" t="n">
        <f aca="false">F20-F23</f>
        <v>5655216.66666666</v>
      </c>
      <c r="G24" s="45" t="n">
        <f aca="false">G20-G23</f>
        <v>6063533.33333333</v>
      </c>
      <c r="H24" s="45" t="n">
        <f aca="false">H20-H23</f>
        <v>19781533.3333333</v>
      </c>
      <c r="I24" s="45" t="n">
        <f aca="false">I20-I23</f>
        <v>14424250</v>
      </c>
      <c r="J24" s="45" t="n">
        <f aca="false">J20-J23</f>
        <v>28142250</v>
      </c>
      <c r="K24" s="45" t="n">
        <f aca="false">K20-K23</f>
        <v>10584966.6666667</v>
      </c>
      <c r="L24" s="45" t="n">
        <f aca="false">L20-L23</f>
        <v>24302966.6666667</v>
      </c>
      <c r="M24" s="45" t="n">
        <f aca="false">M20-M23</f>
        <v>18945683.3333333</v>
      </c>
      <c r="N24" s="45" t="n">
        <f aca="false">N20-N23</f>
        <v>31733683.3333333</v>
      </c>
    </row>
    <row r="25" customFormat="false" ht="15" hidden="false" customHeight="false" outlineLevel="0" collapsed="false">
      <c r="A25" s="4" t="s">
        <v>274</v>
      </c>
      <c r="B25" s="45" t="n">
        <f aca="false">B24</f>
        <v>-26433000</v>
      </c>
      <c r="C25" s="45" t="n">
        <f aca="false">B25+C24</f>
        <v>-43143566.6666667</v>
      </c>
      <c r="D25" s="45" t="n">
        <f aca="false">C25+D24</f>
        <v>-47514133.3333333</v>
      </c>
      <c r="E25" s="45" t="n">
        <f aca="false">D25+E24</f>
        <v>-39544700</v>
      </c>
      <c r="F25" s="45" t="n">
        <f aca="false">E25+F24</f>
        <v>-33889483.3333334</v>
      </c>
      <c r="G25" s="45" t="n">
        <f aca="false">F25+G24</f>
        <v>-27825950</v>
      </c>
      <c r="H25" s="45" t="n">
        <f aca="false">G25+H24</f>
        <v>-8044416.66666669</v>
      </c>
      <c r="I25" s="45" t="n">
        <f aca="false">H25+I24</f>
        <v>6379833.3333333</v>
      </c>
      <c r="J25" s="45" t="n">
        <f aca="false">I25+J24</f>
        <v>34522083.3333333</v>
      </c>
      <c r="K25" s="45" t="n">
        <f aca="false">J25+K24</f>
        <v>45107050</v>
      </c>
      <c r="L25" s="45" t="n">
        <f aca="false">K25+L24</f>
        <v>69410016.6666666</v>
      </c>
      <c r="M25" s="45" t="n">
        <f aca="false">L25+M24</f>
        <v>88355700</v>
      </c>
      <c r="N25" s="45" t="n">
        <f aca="false">M25+N24</f>
        <v>120089383.333333</v>
      </c>
    </row>
    <row r="26" customFormat="false" ht="15" hidden="false" customHeight="false" outlineLevel="0" collapsed="false">
      <c r="A26" s="3" t="s">
        <v>275</v>
      </c>
      <c r="B26" s="43"/>
      <c r="C26" s="43" t="str">
        <f aca="false">IF(AND(C25&gt;=0,B25&lt;0),1,"")</f>
        <v/>
      </c>
      <c r="D26" s="43" t="str">
        <f aca="false">IF(AND(D25&gt;=0,C25&lt;0),2,"")</f>
        <v/>
      </c>
      <c r="E26" s="43" t="str">
        <f aca="false">IF(AND(E25&gt;=0,D25&lt;0),3,"")</f>
        <v/>
      </c>
      <c r="F26" s="43" t="str">
        <f aca="false">IF(AND(F25&gt;=0,E25&lt;0),4,"")</f>
        <v/>
      </c>
      <c r="G26" s="43" t="str">
        <f aca="false">IF(AND(G25&gt;=0,F25&lt;0),5,"")</f>
        <v/>
      </c>
      <c r="H26" s="43" t="str">
        <f aca="false">IF(AND(H25&gt;=0,G25&lt;0),6,"")</f>
        <v/>
      </c>
      <c r="I26" s="43" t="n">
        <f aca="false">IF(AND(I25&gt;=0,H25&lt;0),7,"")</f>
        <v>7</v>
      </c>
      <c r="J26" s="43" t="str">
        <f aca="false">IF(AND(J25&gt;=0,I25&lt;0),8,"")</f>
        <v/>
      </c>
      <c r="K26" s="43" t="str">
        <f aca="false">IF(AND(K25&gt;=0,J25&lt;0),9,"")</f>
        <v/>
      </c>
      <c r="L26" s="43" t="str">
        <f aca="false">IF(AND(L25&gt;=0,K25&lt;0),10,"")</f>
        <v/>
      </c>
      <c r="M26" s="43" t="str">
        <f aca="false">IF(AND(M25&gt;=0,L25&lt;0),11,"")</f>
        <v/>
      </c>
      <c r="N26" s="43" t="str">
        <f aca="false">IF(AND(N25&gt;=0,M25&lt;0),12,"")</f>
        <v/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4" t="s">
        <v>276</v>
      </c>
      <c r="B28" s="48" t="n">
        <f aca="false">-MIN(B25:N25)</f>
        <v>47514133.3333333</v>
      </c>
      <c r="C28" s="2" t="s">
        <v>277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4" t="s">
        <v>278</v>
      </c>
      <c r="B29" s="49" t="n">
        <f aca="false">IF(MAX(C26:N26)=0,"Chưa hoàn vốn",MIN(C26:N26))</f>
        <v>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4" t="s">
        <v>279</v>
      </c>
      <c r="B30" s="45" t="n">
        <f aca="false">SUM(C20:N20)</f>
        <v>166572383.333333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4" t="s">
        <v>280</v>
      </c>
      <c r="B31" s="45" t="n">
        <f aca="false">SUM(C12:N12)</f>
        <v>889800000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2026-09-26T08:33:21Z</dcterms:created>
  <dc:creator>openpyxl</dc:creator>
  <dc:description/>
  <dc:language>en-US</dc:language>
  <cp:lastModifiedBy/>
  <dcterms:modified xsi:type="dcterms:W3CDTF">2026-09-26T08:33:21Z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